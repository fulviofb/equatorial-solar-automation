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xl/comments10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08" yWindow="3720" windowWidth="17280" windowHeight="9960" firstSheet="2" activeTab="1"/>
  </bookViews>
  <sheets>
    <sheet sheetId="11" name="ROTEIRO" state="visible" r:id="rId4"/>
    <sheet sheetId="9" name="0" state="visible" r:id="rId5"/>
    <sheet sheetId="10" name="1" state="visible" r:id="rId6"/>
    <sheet sheetId="7" name="2" state="visible" r:id="rId7"/>
    <sheet sheetId="6" name="FONTES" state="visible" r:id="rId8"/>
  </sheets>
  <definedNames>
    <definedName name="_xlnm.Print_Area" localSheetId="0">'ROTEIRO'!$B2:$L30</definedName>
    <definedName name="_xlnm.Print_Area" localSheetId="1">'0'!$A1:$AG99</definedName>
    <definedName name="_xlnm.Print_Area" localSheetId="2">'1'!$A1:$AG117</definedName>
    <definedName name="_xlnm.Print_Area" localSheetId="3">'2'!$B2:$M69</definedName>
  </definedNames>
  <calcPr calcId="171027"/>
</workbook>
</file>

<file path=xl/comments7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b/>
            <color indexed="81"/>
            <family val="2"/>
            <sz val="8"/>
            <rFont val="Arial"/>
          </rPr>
          <t>Caso não haja indicação, o excedente de energia será alocado como crédito em favor da unidade consumidora de maior consumo medido.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F57" authorId="0">
      <text>
        <r>
          <rPr>
            <b/>
            <color indexed="81"/>
            <family val="2"/>
            <sz val="9"/>
            <rFont val="Segoe UI"/>
          </rPr>
          <t>Equatorial:</t>
        </r>
        <r>
          <rPr>
            <color indexed="81"/>
            <family val="2"/>
            <sz val="9"/>
            <rFont val="Segoe UI"/>
          </rPr>
          <t xml:space="preserve">
(Descrição do Sistema de Armazenamento -“bateria”)</t>
        </r>
      </text>
    </comment>
    <comment ref="AC57" authorId="0">
      <text>
        <r>
          <rPr>
            <b/>
            <color indexed="81"/>
            <family val="2"/>
            <sz val="9"/>
            <rFont val="Segoe UI"/>
          </rPr>
          <t>Equatorial:</t>
        </r>
        <r>
          <rPr>
            <color indexed="81"/>
            <family val="2"/>
            <sz val="9"/>
            <rFont val="Segoe UI"/>
          </rPr>
          <t xml:space="preserve">
Informar apenas a potência que será injetada na rede. Aplicável somente aos casos onde será instalado sistema com limitação de potência injetável, inclusive zero-grid. Demais casos deixar em branco.</t>
        </r>
      </text>
    </comment>
  </commentList>
</comments>
</file>

<file path=xl/sharedStrings.xml><?xml version="1.0" encoding="utf-8"?>
<sst xmlns="http://schemas.openxmlformats.org/spreadsheetml/2006/main" count="416" uniqueCount="361">
  <si>
    <t>ROTEIRO DE PREENCHIMENTO DO FORMULÁRIO DE SOLICITAÇÃO DE ORÇAMENTO E RESPECTIVAS GUIAS</t>
  </si>
  <si>
    <t>1º)</t>
  </si>
  <si>
    <r>
      <t xml:space="preserve">Preencher a </t>
    </r>
    <r>
      <rPr>
        <b/>
        <color theme="1"/>
        <family val="2"/>
        <sz val="10"/>
        <rFont val="Arial"/>
      </rPr>
      <t>GUIA 0</t>
    </r>
    <r>
      <rPr>
        <color theme="1"/>
        <family val="2"/>
        <sz val="10"/>
        <rFont val="Arial"/>
      </rPr>
      <t xml:space="preserve"> nos campos correspontes ao tipo de fonte de geração de energia elétrica</t>
    </r>
  </si>
  <si>
    <t>SOLAR FOTOVOLTAICA - Preencher os itens 1 (fonte) e 2 (inversor), conforme a quantidade de arranjos e inversores.</t>
  </si>
  <si>
    <t>No item 1, existem espaços para até 10 arranjos. Cada linha corresponde as informações de 1 arranjo, preencher cada célula, exceto as da coluna POTÊNCIA</t>
  </si>
  <si>
    <t>DE PICO e as células da linha TOTAL, pois estas células são calculadas automaticamente.</t>
  </si>
  <si>
    <t>No item 2, existem espaços para até 10 inversores. Cada linha corresponde as informações de 1 inversor, preencher todas as células, exceto a célula da linha</t>
  </si>
  <si>
    <t>TOTAL, pois está célula é calculada automaticamente.</t>
  </si>
  <si>
    <t>EÓLICA - Preencher os itens 2 (inversor) e 3 (fonte). Preencher conforme a quantidade de geradores e inversores.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</si>
  <si>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</si>
  <si>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</si>
  <si>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</si>
  <si>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</si>
  <si>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</si>
  <si>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</si>
  <si>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2º)</t>
  </si>
  <si>
    <r>
      <t xml:space="preserve">Preencher a </t>
    </r>
    <r>
      <rPr>
        <b/>
        <color theme="1"/>
        <family val="2"/>
        <sz val="10"/>
        <rFont val="Arial"/>
      </rPr>
      <t>GUIA 1,</t>
    </r>
    <r>
      <rPr>
        <color theme="1"/>
        <family val="2"/>
        <sz val="10"/>
        <rFont val="Arial"/>
      </rPr>
      <t xml:space="preserve"> obrigatoriamente todos os campos destacados em vermelho. Quando os itens em vermelho forem preenchidos, a tarja vermelha irá</t>
    </r>
  </si>
  <si>
    <t>desaparecer.</t>
  </si>
  <si>
    <t>Preecher o item 1 DADOS CADASTRAIS DA UNIDADE CONSUMIDORA. Nos campos selecionáveis devem ser selecionadas as informações que se aplicam a UC.</t>
  </si>
  <si>
    <t>Preecher o item 2 DADOS DO RESPONSÁVEL TÉCNICOS.</t>
  </si>
  <si>
    <t xml:space="preserve">Preecher o item 3 CARACTERÍSTICAS DA MINIGERAÇÃO DISTRIBUÍDA. </t>
  </si>
  <si>
    <t>Selecionar o TIPO DE GERAÇÃO (SOLAR, EÓLICO, BIOMASSA, COGERAÇÃO QUALIFICADA, etc. Se for necessário especificar a fonte primária</t>
  </si>
  <si>
    <t>Selecionar o ENQUADRAMENTO DA MICRO (compensação local, autoconsumo remoto, geração compartilhada ou EMUC)</t>
  </si>
  <si>
    <t>Preecher o campo DATA DE INÍCIO DA OPERAÇÃO.</t>
  </si>
  <si>
    <t>Todos os demais campo deste item são calculados automaticamente, desde que a GUIA 0 e o itens anteriores da GUIA 1 sejam preenchidos corretamente</t>
  </si>
  <si>
    <t>3º)</t>
  </si>
  <si>
    <r>
      <t xml:space="preserve">Preencher a </t>
    </r>
    <r>
      <rPr>
        <b/>
        <color theme="1"/>
        <family val="2"/>
        <sz val="10"/>
        <rFont val="Arial"/>
      </rPr>
      <t>GUIA 2,</t>
    </r>
    <r>
      <rPr>
        <color theme="1"/>
        <family val="2"/>
        <sz val="10"/>
        <rFont val="Arial"/>
      </rPr>
      <t xml:space="preserve"> apenas do casos de AUTOCONSUMO REMOTO, GERAÇÃO COMPARTILHADA E EMPREENDIMENTO DE MÚLTIPLAS</t>
    </r>
  </si>
  <si>
    <t>OBS: Nos campos selecionáveis, caso o preenchimento vermelho não desapareça, clicar duas vezes ou selecionar outro valor e voltar para o valor desejado</t>
  </si>
  <si>
    <r>
      <t>Informações das Unidades Geradoras (UG): (</t>
    </r>
    <r>
      <rPr>
        <b/>
        <color rgb="FFFF0000"/>
        <family val="2"/>
        <sz val="10"/>
        <rFont val="Arial"/>
      </rPr>
      <t>PREENCHER CONFORME O TIPO DE FONTE DE GERAÇÃO</t>
    </r>
    <r>
      <rPr>
        <b/>
        <family val="2"/>
        <sz val="12"/>
        <rFont val="Arial"/>
      </rPr>
      <t>)</t>
    </r>
  </si>
  <si>
    <t xml:space="preserve">1. Solar Fotovoltaica </t>
  </si>
  <si>
    <t xml:space="preserve">Item </t>
  </si>
  <si>
    <t>Potência do Módulo (W)</t>
  </si>
  <si>
    <t>Quantidade</t>
  </si>
  <si>
    <t>Potência de Pico (kWp):</t>
  </si>
  <si>
    <t>Área do arranjo (m²):</t>
  </si>
  <si>
    <t>Fabricante(s) dos Módulos</t>
  </si>
  <si>
    <t>Modelo</t>
  </si>
  <si>
    <t>CANADIAN</t>
  </si>
  <si>
    <t>CS3W</t>
  </si>
  <si>
    <t>JINKO</t>
  </si>
  <si>
    <t>TIGER</t>
  </si>
  <si>
    <t>Potência Nominal (kW)</t>
  </si>
  <si>
    <t>Fator de Potência</t>
  </si>
  <si>
    <t>DHT de Corrente (%)</t>
  </si>
  <si>
    <t>&gt;0.99</t>
  </si>
  <si>
    <t>TOTAL</t>
  </si>
  <si>
    <t xml:space="preserve">Obs: Unidades Geradoras Fotovoltaiscas e Eólicas </t>
  </si>
  <si>
    <t>3. Eólica</t>
  </si>
  <si>
    <t>Item</t>
  </si>
  <si>
    <t>Fabricante/Modelo</t>
  </si>
  <si>
    <t>Eixo do rotor (horizontal/ vertical)*</t>
  </si>
  <si>
    <t>Altura Máxima da Pá (m)*</t>
  </si>
  <si>
    <t>Diâmetro do rotor (m)</t>
  </si>
  <si>
    <r>
      <t xml:space="preserve">Controle de Potência </t>
    </r>
    <r>
      <rPr>
        <family val="2"/>
        <vertAlign val="superscript"/>
        <sz val="10"/>
        <rFont val="Arial"/>
      </rPr>
      <t>(1)</t>
    </r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</si>
  <si>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</si>
  <si>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</si>
  <si>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</si>
  <si>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</si>
  <si>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r>
      <t xml:space="preserve">Documento de certificação da turbina </t>
    </r>
    <r>
      <rPr>
        <family val="2"/>
        <vertAlign val="superscript"/>
        <sz val="10"/>
        <rFont val="Arial"/>
      </rPr>
      <t>(2)</t>
    </r>
  </si>
  <si>
    <t>Entrada em serviço          (cut-in)</t>
  </si>
  <si>
    <t xml:space="preserve">Saída de seviço       (cut-out) </t>
  </si>
  <si>
    <t>Entrada em serviço     (cut-in)</t>
  </si>
  <si>
    <t xml:space="preserve">Saída de seviço       (cut-out)  </t>
  </si>
  <si>
    <t>Obs: No caso de aerogerador não convencional informar a altura máxima atingida pela estrutura.</t>
  </si>
  <si>
    <r>
      <rPr>
        <color theme="1"/>
        <family val="2"/>
        <vertAlign val="superscript"/>
        <sz val="10"/>
        <rFont val="Arial"/>
      </rPr>
      <t>(1)</t>
    </r>
    <r>
      <rPr>
        <color theme="1"/>
        <family val="2"/>
        <sz val="10"/>
        <rFont val="Arial"/>
      </rPr>
      <t xml:space="preserve"> Passo variável(Stall), Estol(pitch), Estol ativo (active stall), etc.</t>
    </r>
  </si>
  <si>
    <r>
      <rPr>
        <color theme="1"/>
        <family val="2"/>
        <vertAlign val="superscript"/>
        <sz val="10"/>
        <rFont val="Arial"/>
      </rPr>
      <t>(2)</t>
    </r>
    <r>
      <rPr>
        <color theme="1"/>
        <family val="2"/>
        <sz val="10"/>
        <rFont val="Arial"/>
      </rPr>
      <t xml:space="preserve"> Data</t>
    </r>
  </si>
  <si>
    <t>4. Hidráulica</t>
  </si>
  <si>
    <t>Rio</t>
  </si>
  <si>
    <t>Bacia / SubBacia</t>
  </si>
  <si>
    <t>Tipo turbina</t>
  </si>
  <si>
    <t>Fabricante Turbina</t>
  </si>
  <si>
    <t>Potência Turbina (kVA)</t>
  </si>
  <si>
    <t>Fabricante Gerador</t>
  </si>
  <si>
    <t>Potência do Gerador (kVA)</t>
  </si>
  <si>
    <t>Fator de Potência do Gerador</t>
  </si>
  <si>
    <t>Potência do Gerador (kW)</t>
  </si>
  <si>
    <r>
      <t xml:space="preserve">5. Térmica </t>
    </r>
    <r>
      <rPr>
        <b/>
        <color theme="1"/>
        <family val="2"/>
        <sz val="10"/>
        <rFont val="Arial"/>
      </rPr>
      <t>(Biomassa/Solar Térmica/Cogeração)</t>
    </r>
  </si>
  <si>
    <t>Informação</t>
  </si>
  <si>
    <t>Especificação</t>
  </si>
  <si>
    <t>Unidade</t>
  </si>
  <si>
    <t>Periodicidade</t>
  </si>
  <si>
    <t>Observação</t>
  </si>
  <si>
    <t>Fabricante das Turbinas*</t>
  </si>
  <si>
    <r>
      <t xml:space="preserve">Tipo de Turbina* </t>
    </r>
    <r>
      <rPr>
        <color theme="1"/>
        <family val="2"/>
        <vertAlign val="superscript"/>
        <sz val="10"/>
        <rFont val="Arial"/>
      </rPr>
      <t>(1)</t>
    </r>
  </si>
  <si>
    <t>Fabricante/Modelo do Gerador</t>
  </si>
  <si>
    <t>Potência Nominal de Placa</t>
  </si>
  <si>
    <t>kVA</t>
  </si>
  <si>
    <t>Potência Máxima em Regime Contínuo</t>
  </si>
  <si>
    <t>kW</t>
  </si>
  <si>
    <t>Corrente Nominal</t>
  </si>
  <si>
    <t>A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</si>
  <si>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</si>
  <si>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</si>
  <si>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</si>
  <si>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</si>
  <si>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</si>
  <si>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</si>
  <si>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</si>
  <si>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r>
      <t xml:space="preserve">Tipo e Ligação </t>
    </r>
    <r>
      <rPr>
        <color theme="1"/>
        <family val="2"/>
        <vertAlign val="superscript"/>
        <sz val="10"/>
        <rFont val="Arial"/>
      </rPr>
      <t>(2)</t>
    </r>
  </si>
  <si>
    <t>Número de pólos</t>
  </si>
  <si>
    <r>
      <t xml:space="preserve">Fator de Potência Máximo* </t>
    </r>
    <r>
      <rPr>
        <color theme="1"/>
        <family val="2"/>
        <vertAlign val="superscript"/>
        <sz val="10"/>
        <rFont val="Arial"/>
      </rPr>
      <t>(3)</t>
    </r>
  </si>
  <si>
    <r>
      <rPr>
        <color theme="1"/>
        <family val="2"/>
        <vertAlign val="superscript"/>
        <sz val="10"/>
        <rFont val="Arial"/>
      </rPr>
      <t xml:space="preserve"> (1)</t>
    </r>
    <r>
      <rPr>
        <color theme="1"/>
        <family val="2"/>
        <sz val="10"/>
        <rFont val="Arial"/>
      </rPr>
      <t xml:space="preserve"> G/V/O</t>
    </r>
  </si>
  <si>
    <r>
      <rPr>
        <color theme="1"/>
        <family val="2"/>
        <vertAlign val="superscript"/>
        <sz val="10"/>
        <rFont val="Arial"/>
      </rPr>
      <t xml:space="preserve"> (2)</t>
    </r>
    <r>
      <rPr>
        <color theme="1"/>
        <family val="2"/>
        <sz val="10"/>
        <rFont val="Arial"/>
      </rPr>
      <t xml:space="preserve"> Y ou </t>
    </r>
    <r>
      <rPr>
        <color theme="1"/>
        <family val="2"/>
        <sz val="10"/>
        <rFont val="Calibri"/>
      </rPr>
      <t>Δ</t>
    </r>
  </si>
  <si>
    <r>
      <t xml:space="preserve"> (3) </t>
    </r>
    <r>
      <rPr>
        <color theme="1"/>
        <family val="2"/>
        <sz val="10"/>
        <rFont val="Arial"/>
      </rPr>
      <t>Sobre-excitado ou Sub-excitado</t>
    </r>
  </si>
  <si>
    <t xml:space="preserve">NT.00020.EQTL.Normas e Qualidade
ANEXO I - Formulário de Solicitação de Orçamento de Microgeração Distribuída Grupo B</t>
  </si>
  <si>
    <t>MONOFÁSICO</t>
  </si>
  <si>
    <t>AL</t>
  </si>
  <si>
    <t>Residencial</t>
  </si>
  <si>
    <t>Preencher as coordenadas ponto de entrega do acessante em UTM Fuso 21, 22 ou 23</t>
  </si>
  <si>
    <t>LIGAÇÃO NOVA DE UNIDADE CONSUMIDORA COM GERAÇÃO DISTRIBUÍDA</t>
  </si>
  <si>
    <t>BIFÁSICO</t>
  </si>
  <si>
    <t>AP</t>
  </si>
  <si>
    <t>Industrial</t>
  </si>
  <si>
    <t>Preencher as coordenadas do ponto de entrega do acessante em UTM Fuso 23</t>
  </si>
  <si>
    <t>CONEXÃO DE GD EM UNIDADE CONSUMIDORA EXISTENTE SEM AUMENTO DE POTÊNCIA DISPONIBILIZADA (ver item abaixo)</t>
  </si>
  <si>
    <t>TRIFÁSICO</t>
  </si>
  <si>
    <t>GO</t>
  </si>
  <si>
    <t>Comércio, serviços e outras atividades</t>
  </si>
  <si>
    <t>Preencher as coordenadas do ponto de entrega do acessante em UTM Fuso 23 ou 24</t>
  </si>
  <si>
    <t>CONEXÃO DE GD EM UNIDADE CONSUMIDORA EXISTENTE COM AUMENTO DE POTÊNCIA DISPONIBILIZADA (ver item abaixo)</t>
  </si>
  <si>
    <t>MA</t>
  </si>
  <si>
    <t>Rural</t>
  </si>
  <si>
    <t>Preencher as coordenadas do ponto de entrega do acessante em UTM Fuso 24 ou 25</t>
  </si>
  <si>
    <t>AUMENTO DA POTÊNCIA DE GERAÇÃO EM UC COM GD EXISTENTE SEM AUMENTO DE POTÊNCIA DISPONIBILIZADA (ver item abaixo)</t>
  </si>
  <si>
    <r>
      <t xml:space="preserve">1. Identificação e Dados Cadastrais da Unidade Consumidora - </t>
    </r>
    <r>
      <rPr>
        <b/>
        <color indexed="10"/>
        <family val="2"/>
        <sz val="11"/>
        <rFont val="Arial"/>
      </rPr>
      <t>PREENCHER, OBRIGATORIAMENTE, TODOS OS CAMPOS NA COR VERMELHA</t>
    </r>
  </si>
  <si>
    <t>SIM</t>
  </si>
  <si>
    <t>PA</t>
  </si>
  <si>
    <t>Poder Público</t>
  </si>
  <si>
    <t>Preencher as coordenadas ponto de entrega do acessante em UTM Fuso 21 ou 22</t>
  </si>
  <si>
    <t>AUMENTO DA POTÊNCIA DE GERAÇÃO EM UC COM GD EXISTENTE COM AUMENTO DE POTÊNCIA DISPONIBILIZADA (ver item abaixo)</t>
  </si>
  <si>
    <t>NÃO</t>
  </si>
  <si>
    <t>PI</t>
  </si>
  <si>
    <t>Iluminação Pública</t>
  </si>
  <si>
    <t>Preencher as coordenadas ponto de entrega do acessante em UTM Fuso 22</t>
  </si>
  <si>
    <t>Nome do Cliente / Razão Social (Titular da Unidade Consumidora)</t>
  </si>
  <si>
    <t>CPF/CNPJ</t>
  </si>
  <si>
    <t>RG</t>
  </si>
  <si>
    <t>11111</t>
  </si>
  <si>
    <t>RS</t>
  </si>
  <si>
    <t>Serviço Público</t>
  </si>
  <si>
    <t>Preencher as coordenadas do ponto de entrega do acessante em UTM Fuso 22 ou 23</t>
  </si>
  <si>
    <t>TESTE MIGRAÇÃO</t>
  </si>
  <si>
    <t>269.191.501-82</t>
  </si>
  <si>
    <t>DATA EXPEDIÇÃO</t>
  </si>
  <si>
    <t>Consumo próprio</t>
  </si>
  <si>
    <t>SOLAR FOTOVOLTAICA</t>
  </si>
  <si>
    <t>Endereço</t>
  </si>
  <si>
    <t>Contatos telefônicos</t>
  </si>
  <si>
    <t>AUTOCONSUMO LOCAL</t>
  </si>
  <si>
    <t>EÓLICA</t>
  </si>
  <si>
    <t>RUA TESTE, 123</t>
  </si>
  <si>
    <t>Celular</t>
  </si>
  <si>
    <t>62 8471-8268</t>
  </si>
  <si>
    <t>Fixo</t>
  </si>
  <si>
    <t>AÉREO</t>
  </si>
  <si>
    <t>AUTOCONSUMO REMOTO</t>
  </si>
  <si>
    <t>HIDRÁULICA</t>
  </si>
  <si>
    <t>1Ø 127</t>
  </si>
  <si>
    <t>SUBTERRÂNEO</t>
  </si>
  <si>
    <t>GERAÇÃO COMPARTILHADA</t>
  </si>
  <si>
    <t>BIOMASSA (especificar ao lado o tipo de fonte primária)</t>
  </si>
  <si>
    <t>2Ø 220</t>
  </si>
  <si>
    <t>CEP:</t>
  </si>
  <si>
    <t>74465-460</t>
  </si>
  <si>
    <t>Munícipio</t>
  </si>
  <si>
    <t>CIDADE TESTE</t>
  </si>
  <si>
    <t>TE</t>
  </si>
  <si>
    <t>E-mail</t>
  </si>
  <si>
    <t>contato@fotonengenharia.com</t>
  </si>
  <si>
    <t>EMPREENDIMENTO DE MÚLTIPLAS UNIDADES CONSUMIDORAS</t>
  </si>
  <si>
    <t>COGERAÇÃO QUALIFICADA</t>
  </si>
  <si>
    <t>3Ø 220</t>
  </si>
  <si>
    <t>HÍBRIDO (indicar potência total ao lado)</t>
  </si>
  <si>
    <t>1Ø 220</t>
  </si>
  <si>
    <t>Tipo de orçamento desejado</t>
  </si>
  <si>
    <t>Orçamento de Conexão</t>
  </si>
  <si>
    <t>Conta Contrato (Se UC existente)</t>
  </si>
  <si>
    <t>OUTRAS (especificar ao lado)</t>
  </si>
  <si>
    <t>2Ø 380</t>
  </si>
  <si>
    <t>3Ø 380</t>
  </si>
  <si>
    <r>
      <t>Tipo de Solicitação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</si>
  <si>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EMPREGANDO MÁQUINA SÍNCRONA SEM CONVERSOR</t>
  </si>
  <si>
    <t>EMPREGANDO CONVERSOR ELETRÔNICO/INVERSOR</t>
  </si>
  <si>
    <t>MISTA</t>
  </si>
  <si>
    <t>OUTRA (especificar ao lado)</t>
  </si>
  <si>
    <t>Orçamento Estimado</t>
  </si>
  <si>
    <t>Possui Cargas Especiais?</t>
  </si>
  <si>
    <t>Detalhar - Cargas especiais</t>
  </si>
  <si>
    <t>Ramo de Atividade (Descrição)</t>
  </si>
  <si>
    <r>
      <t xml:space="preserve">Classe </t>
    </r>
    <r>
      <rPr>
        <color rgb="FFFF0000"/>
        <family val="2"/>
        <sz val="10"/>
        <rFont val="Arial"/>
      </rPr>
      <t>(selecionar</t>
    </r>
    <r>
      <rPr>
        <family val="2"/>
        <sz val="10"/>
        <rFont val="Arial"/>
      </rPr>
      <t>)</t>
    </r>
  </si>
  <si>
    <r>
      <t>Tipo de Ligação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</si>
  <si>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Tensão de Atendimento da UC</t>
  </si>
  <si>
    <t>V</t>
  </si>
  <si>
    <t>Carga Declarada da UC</t>
  </si>
  <si>
    <r>
      <t>Disjuntor de Entrada da UC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</si>
  <si>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Potência Disponibilizada (PD) para a UC</t>
  </si>
  <si>
    <r>
      <t>Tipo de Ramal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</si>
  <si>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Nº de identificação do poste ou transformador mais próximo</t>
  </si>
  <si>
    <t xml:space="preserve">X = </t>
  </si>
  <si>
    <t>Y =</t>
  </si>
  <si>
    <t>2. Dados Cadastrais do Responsável Técnico</t>
  </si>
  <si>
    <t>Nome Completo</t>
  </si>
  <si>
    <t>Titulo Profissional</t>
  </si>
  <si>
    <t>Registro Profissional</t>
  </si>
  <si>
    <t>ENG. TESTE</t>
  </si>
  <si>
    <t>12345</t>
  </si>
  <si>
    <t>Nº</t>
  </si>
  <si>
    <t>UF</t>
  </si>
  <si>
    <t>Telefone Fixo</t>
  </si>
  <si>
    <t>Telefone Celular</t>
  </si>
  <si>
    <t>Fax</t>
  </si>
  <si>
    <t>fulvio@fotonengenharia.com</t>
  </si>
  <si>
    <t>624101-1870</t>
  </si>
  <si>
    <t>6298556-0258</t>
  </si>
  <si>
    <t>Endereço de Correspondência</t>
  </si>
  <si>
    <t>Bairro</t>
  </si>
  <si>
    <t>Setor Sudoeste</t>
  </si>
  <si>
    <t>UF:</t>
  </si>
  <si>
    <t>Rua C-52, Qd. 57, Lt. 02</t>
  </si>
  <si>
    <t>Município</t>
  </si>
  <si>
    <t>Goiânia</t>
  </si>
  <si>
    <t>74305-310</t>
  </si>
  <si>
    <t>3. Características da Microgeração Distribuída</t>
  </si>
  <si>
    <t>Dados Gerais da Central Geradora</t>
  </si>
  <si>
    <r>
      <t>Tipo de Fonte Primária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</si>
  <si>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Especificar se necessário</t>
  </si>
  <si>
    <r>
      <t>Tipo de Geração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</si>
  <si>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r>
      <t>Modalidade de Compensação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</si>
  <si>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Potência Geração do Orçamento</t>
  </si>
  <si>
    <t>Potência Geração Total da UC(PGT)</t>
  </si>
  <si>
    <t>Armazenamento (se houver)</t>
  </si>
  <si>
    <t>Potência Máxima Injetável (se aplicável)</t>
  </si>
  <si>
    <t>Data Início de Operação</t>
  </si>
  <si>
    <t>4. Documentos necessários que devem ser anexados à Solicitação de Orçamento de Conexão:</t>
  </si>
  <si>
    <t>Descrição</t>
  </si>
  <si>
    <t>Observações</t>
  </si>
  <si>
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</si>
  <si>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2. Indicação do local do padrão ou da subestação de entrada no imóvel, exclusivamente nos casos em que ainda não estiverem instalados</t>
  </si>
  <si>
    <t>3. Diagrama unifilar e de blocos do sistema de geração, carga e proteção</t>
  </si>
  <si>
    <t>4. Memorial Técnico Descritivo da instalação (Conforme Modelo do ANEXO III - MODELO DE MEMORIAL TÉCNICO DESCRITIVO)</t>
  </si>
  <si>
    <t>5. Relatório de ensaio, em língua portuguesa, atestando a conformidade de todos os conversores de potência para a tensão nominal de conexão com a rede, sempre que houver a utilização de conversores.</t>
  </si>
  <si>
    <t>6. Dados necessários ao registro da central geradora distribuída conforme disponível no site da ANEEL.</t>
  </si>
  <si>
    <t>7. Lista de unidades consumidoras participantes do sistema de compensação (se houver), indicando o percentual ou a ordem de utilização dos excedentes. (PLANILHA NA GUIA 2)</t>
  </si>
  <si>
    <t>Para autoconsumo remoto, geração compartilhada e empreendimento de múltiplas unidades consumidoras</t>
  </si>
  <si>
    <t>8. Cópia de instrumento jurídico que comprove a participação dos integrantes para os casos de múltiplas unidades consumidoras e geração compartilhada. (Caso aplicável)</t>
  </si>
  <si>
    <t>Apenas para os casos de empreendimentos com múltiplas unidades consumidoras e geração compartilhada.</t>
  </si>
  <si>
    <t>9. Documento que comprove o reconhecimento pela ANEEL, da cogeração qualificada (se houver)</t>
  </si>
  <si>
    <t>Apenas para cogeração qualificada</t>
  </si>
  <si>
    <t>10. Dados de segurança das barragens no caso do uso de sistemas com fontes hídricas, conforme Resolução Normativa nº 696/2015. (Caso aplicável)</t>
  </si>
  <si>
    <t>11. Para centrais fotovoltaicas enquadradas como despacháveis, comprovação de que o sistema de armazenamento atende o disposto no art. 655-B da Resolução Normativa nº 1.000/2021. (Caso aplicável)</t>
  </si>
  <si>
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</si>
  <si>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 xml:space="preserve">Apenas nos casos de Ligação Nova de UC com Microgeração ou Alteração da Potência Disponibilizada de UC Existente </t>
  </si>
  <si>
    <t>13. Formulário de Troca de Padrão ( de monofásico para bifásico ou trifásico, de bifásico para trifásico, de trifásico para bifásico ou monofásico, de bifásico para monofásico)  (Conforme ANEXO IV - FORMULÁRIO DE TROCA DE PADRÃO)</t>
  </si>
  <si>
    <t>Apenas no caso de unidade consumidora existente com alteração de potência disponibilizada que implique em troca de padrão</t>
  </si>
  <si>
    <t>14. Autorização de uso de área comum em condomínio (quando necessário, conforme observação)</t>
  </si>
  <si>
    <t>Quando uma UC individualmente construir uma central geradora utilizando a área comum do condomínio</t>
  </si>
  <si>
    <t>15. Procuração Autenticada (quando necesário, conforme observação)</t>
  </si>
  <si>
    <t>Quando a solicitação for feita por terceiros</t>
  </si>
  <si>
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</si>
  <si>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5. Documentos necessários que devem ser anexados à Solicitação de Orçamento Estimado:</t>
  </si>
  <si>
    <t>Para solicitar orçamento estimado é necessário preencher apenas os dados básicos da unidade consumidora, a tensão de conexão e indicação da potência de geração no campo que surgirá ao lado do tipo de orçamento.</t>
  </si>
  <si>
    <t>Caso o orçamento estimado seja solicitado para uma localização onde ainda não exista unidade consumidora, é necessário anexar à solicitação planta de situação conforme modelo da norma NT.00020.EQTL.</t>
  </si>
  <si>
    <t>Devem ser enviados também documentos de identificação do consumidor e, caso existam, procurações e documentações dos representantes legais, conforme Tabela 3 da norma NT.00020.EQTL.</t>
  </si>
  <si>
    <t>6. Solicitações e Declarações</t>
  </si>
  <si>
    <t>Solicito que a contagem do prazo para realização da vistoria pela CONCESSIONÁRIA, conforme art. 68 da Resolução Normativa nº 1.000/2021, inicie-se somente após minha solicitação.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</si>
  <si>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</si>
  <si>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</si>
  <si>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</si>
  <si>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</si>
  <si>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</si>
  <si>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 xml:space="preserve">     Modalidade autoconsumo local, com potência instalada de geração igual ou inferior a 7,5 kW, observado o item 7</t>
  </si>
  <si>
    <t>Declaro, para todos os fins, que todas as informações prestadas neste documento são verdadeiras.</t>
  </si>
  <si>
    <t>7. Termo de Aceite das condições para afastamento da análise de inversão de fluxo (Opcional)</t>
  </si>
  <si>
    <t xml:space="preserve"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</si>
  <si>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</si>
  <si>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22/07/2025 - Goiânia - GO</t>
  </si>
  <si>
    <t>Assinatura:</t>
  </si>
  <si>
    <t>8. Este formulário deve ser preenchido e encaminhado aos canais de atendimento Corporativo da Concessionária</t>
  </si>
  <si>
    <r>
      <rPr>
        <b/>
        <family val="2"/>
        <sz val="10"/>
        <rFont val="Arial"/>
      </rPr>
      <t>ALAGOAS</t>
    </r>
    <r>
      <rPr>
        <family val="2"/>
        <sz val="10"/>
        <rFont val="Arial"/>
      </rPr>
      <t xml:space="preserve"> - Sede de regionais (Maceio,Arapiraca, Matriz de Camaragibe e Santana</t>
    </r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</si>
  <si>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</si>
  <si>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do Ipanema)</t>
  </si>
  <si>
    <r>
      <rPr>
        <b/>
        <family val="2"/>
        <sz val="10"/>
        <rFont val="Arial"/>
      </rPr>
      <t xml:space="preserve">AMAPÁ </t>
    </r>
    <r>
      <rPr>
        <family val="2"/>
        <sz val="10"/>
        <rFont val="Arial"/>
      </rPr>
      <t>- Sede de regionais (Macapá)</t>
    </r>
  </si>
  <si>
    <r>
      <rPr>
        <b/>
        <family val="2"/>
        <sz val="10"/>
        <rFont val="Arial"/>
      </rPr>
      <t xml:space="preserve">GOIÁS </t>
    </r>
    <r>
      <rPr>
        <family val="2"/>
        <sz val="10"/>
        <rFont val="Arial"/>
      </rPr>
      <t>- Sede de regionais (Goiânia, Luziânia, Anápolis, Rio Verde e Iporá)</t>
    </r>
  </si>
  <si>
    <r>
      <rPr>
        <b/>
        <family val="2"/>
        <sz val="10"/>
        <rFont val="Arial"/>
      </rPr>
      <t xml:space="preserve">MARANHÃO </t>
    </r>
    <r>
      <rPr>
        <family val="2"/>
        <sz val="10"/>
        <rFont val="Arial"/>
      </rPr>
      <t>- Sede de regionais (São Luís, Imperatriz, Timon, Balsas e Bacabal)</t>
    </r>
  </si>
  <si>
    <t>Goiânia - GO</t>
  </si>
  <si>
    <r>
      <rPr>
        <b/>
        <family val="2"/>
        <sz val="10"/>
        <rFont val="Arial"/>
      </rPr>
      <t xml:space="preserve">PARÁ </t>
    </r>
    <r>
      <rPr>
        <family val="2"/>
        <sz val="10"/>
        <rFont val="Arial"/>
      </rPr>
      <t>- Sede de regionais (Belém, Castanhal, Marabá, Santarém e Altamira)</t>
    </r>
  </si>
  <si>
    <r>
      <rPr>
        <b/>
        <family val="2"/>
        <sz val="10"/>
        <rFont val="Arial"/>
      </rPr>
      <t xml:space="preserve">PIAUÍ </t>
    </r>
    <r>
      <rPr>
        <family val="2"/>
        <sz val="10"/>
        <rFont val="Arial"/>
      </rPr>
      <t>- Sede de regionais (Teresina, Parnaíba, Picos, Bom Jesus e Floriano)</t>
    </r>
  </si>
  <si>
    <r>
      <rPr>
        <b/>
        <family val="2"/>
        <sz val="10"/>
        <rFont val="Arial"/>
      </rPr>
      <t xml:space="preserve">RIO GRANDE DO SUL </t>
    </r>
    <r>
      <rPr>
        <family val="2"/>
        <sz val="10"/>
        <rFont val="Arial"/>
      </rPr>
      <t>- Sede de regionais (Porto Alegre, Osório e Pelotas)</t>
    </r>
  </si>
  <si>
    <r>
      <t xml:space="preserve">Em caso de dúvidas entrar em contato com os canais de atendimento disponibilizados na norma </t>
    </r>
    <r>
      <rPr>
        <b/>
        <family val="2"/>
        <sz val="10"/>
        <rFont val="Arial"/>
      </rPr>
      <t>NT.00020.EQTL.Normas e Qualidade</t>
    </r>
    <r>
      <rPr>
        <family val="2"/>
        <sz val="10"/>
        <rFont val="Arial"/>
      </rPr>
      <t>.</t>
    </r>
  </si>
  <si>
    <t>Local</t>
  </si>
  <si>
    <t>Data</t>
  </si>
  <si>
    <t>Assinatura do Responsável</t>
  </si>
  <si>
    <t>GERÊNCIA CORPORATIVA DE NORMAS E QUALIDADE. NT.00020.EQTL.Normas e Qualidade ANEXO I - FORMULÁRIO DE SOLICITAÇÃO DE ORÇAMENTO DE MICROGERAÇÃO DISTRIBUÍDA GRUPO B REVISÃO 05. DATA: 13/01/2025.</t>
  </si>
  <si>
    <r>
      <t xml:space="preserve">LISTA DE RATEIO PARA AS UNIDADES CONSUMIDORAS PARTICIPANTES DO SISTEMA DE COMPENSAÇÃO
</t>
    </r>
    <r>
      <rPr>
        <b/>
        <color theme="1"/>
        <family val="2"/>
        <sz val="9"/>
        <rFont val="Arial"/>
      </rPr>
      <t>(Autoconsumo Remoto, Geração Compartilhada e EMUC)</t>
    </r>
  </si>
  <si>
    <t>Conta Contrato da UC geradora</t>
  </si>
  <si>
    <t>Enquadramento</t>
  </si>
  <si>
    <t>Geração Compartilhada</t>
  </si>
  <si>
    <t>Autoconsumo Remoto</t>
  </si>
  <si>
    <t>Local da solicitação</t>
  </si>
  <si>
    <t>RUA DA UNIÃO, QD. 171, LT. 15, S/N, JARDIM NOVA ESPERANÇA, GOIANIA - GO</t>
  </si>
  <si>
    <t>Data solicitação</t>
  </si>
  <si>
    <t>Forma de alocação dos créditos</t>
  </si>
  <si>
    <t>Percentual do Excedente</t>
  </si>
  <si>
    <t>Empreendimento de Múltiplas Unidades</t>
  </si>
  <si>
    <t>Ordem</t>
  </si>
  <si>
    <t>% kWh</t>
  </si>
  <si>
    <t>Conta Contrato</t>
  </si>
  <si>
    <t>Classe de Consumo</t>
  </si>
  <si>
    <t>ENDEREÇO</t>
  </si>
  <si>
    <t>RUA JC-51, QD. 100, LT. 24, JARDIM CURITIBA III, GOIANIA - GO</t>
  </si>
  <si>
    <t>Ordem de Prioridade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</si>
  <si>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</si>
  <si>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</si>
  <si>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</si>
  <si>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</si>
  <si>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</si>
  <si>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</si>
  <si>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</si>
  <si>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</si>
  <si>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</si>
  <si>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</si>
  <si>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</si>
  <si>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</si>
  <si>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</si>
  <si>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</si>
  <si>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</si>
  <si>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</si>
  <si>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</si>
  <si>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</si>
  <si>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</si>
  <si>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</si>
  <si>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</si>
  <si>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</si>
  <si>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Eólica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</si>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</sst>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#,##0_ ;-#,##0 "/>
    <numFmt numFmtId="165" formatCode="#,##0.00_ ;-#,##0.00 "/>
    <numFmt numFmtId="166" formatCode="00&quot;.&quot;000&quot;.&quot;000&quot;/&quot;0000&quot;-&quot;00"/>
    <numFmt numFmtId="167" formatCode="(##) ####-####"/>
    <numFmt numFmtId="168" formatCode="[&lt;=9999999]###-####;(###) ###-####"/>
    <numFmt numFmtId="169" formatCode="dd/mm/yy;@"/>
    <numFmt numFmtId="170" formatCode="00000-000"/>
    <numFmt numFmtId="171" formatCode="00&quot;.&quot;000-000"/>
    <numFmt numFmtId="172" formatCode="0.000000"/>
    <numFmt numFmtId="173" formatCode="1ª"/>
    <numFmt numFmtId="174" formatCode="0.00000"/>
  </numFmts>
  <fonts count="2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color theme="1"/>
      <family val="2"/>
      <scheme val="minor"/>
      <sz val="10"/>
      <name val="Calibri"/>
    </font>
    <font>
      <color theme="1"/>
      <family val="2"/>
      <sz val="10"/>
      <name val="Arial"/>
    </font>
    <font>
      <color theme="1"/>
      <family val="2"/>
      <sz val="11"/>
      <name val="Arial"/>
    </font>
    <font>
      <family val="2"/>
      <sz val="10"/>
      <name val="Arial"/>
    </font>
    <font>
      <b/>
      <family val="2"/>
      <sz val="12"/>
      <name val="Arial"/>
    </font>
    <font>
      <b/>
      <family val="2"/>
      <sz val="10"/>
      <name val="Arial"/>
    </font>
    <font>
      <b/>
      <color theme="1"/>
      <family val="2"/>
      <sz val="12"/>
      <name val="Arial"/>
    </font>
    <font>
      <i/>
      <color theme="1"/>
      <family val="1"/>
      <vertAlign val="superscript"/>
      <sz val="12"/>
      <name val="Times New Roman"/>
    </font>
    <font>
      <family val="3"/>
      <sz val="10"/>
      <name val="Frutiger 45 Light"/>
    </font>
    <font>
      <color theme="1"/>
      <family val="2"/>
      <vertAlign val="superscript"/>
      <sz val="10"/>
      <name val="Arial"/>
    </font>
    <font>
      <b/>
      <family val="2"/>
      <sz val="11"/>
      <name val="Arial"/>
    </font>
    <font>
      <b/>
      <i/>
      <color theme="1"/>
      <family val="2"/>
      <sz val="12"/>
      <name val="Arial Narrow"/>
    </font>
    <font>
      <color theme="1"/>
      <family val="2"/>
      <sz val="9"/>
      <name val="Arial"/>
    </font>
    <font>
      <b/>
      <family val="2"/>
      <sz val="14"/>
      <name val="Arial"/>
    </font>
    <font>
      <b/>
      <family val="2"/>
      <sz val="18"/>
      <name val="Arial"/>
    </font>
    <font>
      <u/>
      <color indexed="12"/>
      <family val="2"/>
      <sz val="10"/>
      <name val="Arial"/>
    </font>
    <font>
      <b/>
      <color theme="1"/>
      <family val="2"/>
      <sz val="11"/>
      <name val="Arial"/>
    </font>
    <font>
      <b/>
      <family val="2"/>
      <sz val="9"/>
      <name val="Arial"/>
    </font>
    <font>
      <family val="2"/>
      <sz val="12"/>
      <name val="Arial"/>
    </font>
    <font>
      <b/>
      <color rgb="FF003366"/>
      <family val="2"/>
      <sz val="12"/>
      <name val="Arial"/>
    </font>
    <font>
      <color rgb="FF003366"/>
      <family val="2"/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7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49" fontId="7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vertical="center"/>
    </xf>
    <xf numFmtId="49" fontId="7" fillId="2" borderId="15" xfId="0" applyNumberFormat="1" applyFont="1" applyFill="1" applyBorder="1" applyAlignment="1">
      <alignment horizontal="center" vertical="center"/>
    </xf>
    <xf numFmtId="49" fontId="7" fillId="2" borderId="16" xfId="0" applyNumberFormat="1" applyFont="1" applyFill="1" applyBorder="1" applyAlignment="1">
      <alignment horizontal="center" vertical="center"/>
    </xf>
    <xf numFmtId="49" fontId="7" fillId="2" borderId="13" xfId="0" applyNumberFormat="1" applyFont="1" applyFill="1" applyBorder="1" applyAlignment="1">
      <alignment horizontal="center" vertical="center"/>
    </xf>
    <xf numFmtId="164" fontId="3" fillId="3" borderId="15" xfId="0" applyNumberFormat="1" applyFont="1" applyFill="1" applyBorder="1" applyAlignment="1" applyProtection="1">
      <alignment horizontal="center" vertical="center"/>
      <protection locked="0"/>
    </xf>
    <xf numFmtId="164" fontId="3" fillId="3" borderId="16" xfId="0" applyNumberFormat="1" applyFont="1" applyFill="1" applyBorder="1" applyAlignment="1" applyProtection="1">
      <alignment horizontal="center" vertical="center"/>
      <protection locked="0"/>
    </xf>
    <xf numFmtId="0" fontId="3" fillId="4" borderId="15" xfId="0" applyFont="1" applyFill="1" applyBorder="1" applyAlignment="1" applyProtection="1">
      <alignment horizontal="center" vertical="center"/>
      <protection hidden="1"/>
    </xf>
    <xf numFmtId="0" fontId="3" fillId="4" borderId="16" xfId="0" applyFont="1" applyFill="1" applyBorder="1" applyAlignment="1" applyProtection="1">
      <alignment horizontal="center" vertical="center"/>
      <protection hidden="1"/>
    </xf>
    <xf numFmtId="165" fontId="3" fillId="3" borderId="15" xfId="0" applyNumberFormat="1" applyFont="1" applyFill="1" applyBorder="1" applyAlignment="1" applyProtection="1">
      <alignment horizontal="center" vertical="center"/>
      <protection locked="0"/>
    </xf>
    <xf numFmtId="165" fontId="3" fillId="3" borderId="16" xfId="0" applyNumberFormat="1" applyFont="1" applyFill="1" applyBorder="1" applyAlignment="1" applyProtection="1">
      <alignment horizontal="center" vertical="center"/>
      <protection locked="0"/>
    </xf>
    <xf numFmtId="0" fontId="3" fillId="3" borderId="12" xfId="0" applyFont="1" applyFill="1" applyBorder="1" applyAlignment="1" applyProtection="1">
      <alignment horizontal="center" vertical="center"/>
      <protection locked="0"/>
    </xf>
    <xf numFmtId="0" fontId="3" fillId="3" borderId="17" xfId="0" applyFont="1" applyFill="1" applyBorder="1" applyAlignment="1" applyProtection="1">
      <alignment horizontal="center" vertical="center"/>
      <protection locked="0"/>
    </xf>
    <xf numFmtId="0" fontId="3" fillId="3" borderId="15" xfId="0" applyFont="1" applyFill="1" applyBorder="1" applyAlignment="1" applyProtection="1">
      <alignment horizontal="center" vertical="center"/>
      <protection locked="0"/>
    </xf>
    <xf numFmtId="0" fontId="3" fillId="3" borderId="16" xfId="0" applyFont="1" applyFill="1" applyBorder="1" applyAlignment="1" applyProtection="1">
      <alignment horizontal="center" vertical="center"/>
      <protection locked="0"/>
    </xf>
    <xf numFmtId="0" fontId="1" fillId="5" borderId="15" xfId="0" applyFont="1" applyFill="1" applyBorder="1" applyAlignment="1" applyProtection="1">
      <alignment horizontal="center" vertical="center"/>
      <protection hidden="1"/>
    </xf>
    <xf numFmtId="164" fontId="8" fillId="4" borderId="15" xfId="0" applyNumberFormat="1" applyFont="1" applyFill="1" applyBorder="1" applyAlignment="1" applyProtection="1">
      <alignment horizontal="center" vertical="center"/>
      <protection hidden="1"/>
    </xf>
    <xf numFmtId="164" fontId="8" fillId="4" borderId="16" xfId="0" applyNumberFormat="1" applyFont="1" applyFill="1" applyBorder="1" applyAlignment="1" applyProtection="1">
      <alignment horizontal="center" vertical="center"/>
      <protection hidden="1"/>
    </xf>
    <xf numFmtId="165" fontId="8" fillId="4" borderId="15" xfId="0" applyNumberFormat="1" applyFont="1" applyFill="1" applyBorder="1" applyAlignment="1" applyProtection="1">
      <alignment horizontal="center" vertical="center"/>
      <protection hidden="1"/>
    </xf>
    <xf numFmtId="165" fontId="8" fillId="4" borderId="16" xfId="0" applyNumberFormat="1" applyFont="1" applyFill="1" applyBorder="1" applyAlignment="1" applyProtection="1">
      <alignment horizontal="center" vertical="center"/>
      <protection hidden="1"/>
    </xf>
    <xf numFmtId="0" fontId="3" fillId="5" borderId="13" xfId="0" applyFont="1" applyFill="1" applyBorder="1" applyAlignment="1" applyProtection="1">
      <alignment horizontal="center" vertical="center"/>
      <protection hidden="1"/>
    </xf>
    <xf numFmtId="0" fontId="9" fillId="0" borderId="18" xfId="0" applyFont="1" applyBorder="1" applyAlignment="1">
      <alignment horizontal="left" vertical="center" wrapText="1"/>
    </xf>
    <xf numFmtId="0" fontId="10" fillId="0" borderId="0" xfId="0" applyFont="1"/>
    <xf numFmtId="0" fontId="9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165" fontId="3" fillId="3" borderId="13" xfId="0" applyNumberFormat="1" applyFont="1" applyFill="1" applyBorder="1" applyAlignment="1" applyProtection="1">
      <alignment horizontal="center" vertical="center"/>
      <protection locked="0"/>
    </xf>
    <xf numFmtId="0" fontId="3" fillId="3" borderId="14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 applyProtection="1">
      <alignment horizontal="center" vertical="center"/>
      <protection hidden="1"/>
    </xf>
    <xf numFmtId="0" fontId="8" fillId="6" borderId="15" xfId="0" applyFont="1" applyFill="1" applyBorder="1" applyAlignment="1" applyProtection="1">
      <alignment horizontal="center" vertical="center"/>
      <protection hidden="1"/>
    </xf>
    <xf numFmtId="0" fontId="8" fillId="6" borderId="16" xfId="0" applyFont="1" applyFill="1" applyBorder="1" applyAlignment="1" applyProtection="1">
      <alignment horizontal="center" vertical="center"/>
      <protection hidden="1"/>
    </xf>
    <xf numFmtId="165" fontId="8" fillId="4" borderId="13" xfId="0" applyNumberFormat="1" applyFont="1" applyFill="1" applyBorder="1" applyAlignment="1" applyProtection="1">
      <alignment horizontal="center" vertical="center"/>
      <protection hidden="1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49" fontId="5" fillId="2" borderId="20" xfId="0" applyNumberFormat="1" applyFont="1" applyFill="1" applyBorder="1" applyAlignment="1">
      <alignment horizontal="center" vertical="center" wrapText="1"/>
    </xf>
    <xf numFmtId="49" fontId="5" fillId="2" borderId="21" xfId="0" applyNumberFormat="1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49" fontId="5" fillId="2" borderId="23" xfId="0" applyNumberFormat="1" applyFont="1" applyFill="1" applyBorder="1" applyAlignment="1">
      <alignment horizontal="center" vertical="center" wrapText="1"/>
    </xf>
    <xf numFmtId="49" fontId="5" fillId="2" borderId="17" xfId="0" applyNumberFormat="1" applyFont="1" applyFill="1" applyBorder="1" applyAlignment="1">
      <alignment horizontal="center" vertical="center" wrapText="1"/>
    </xf>
    <xf numFmtId="165" fontId="3" fillId="3" borderId="14" xfId="0" applyNumberFormat="1" applyFont="1" applyFill="1" applyBorder="1" applyAlignment="1" applyProtection="1">
      <alignment horizontal="center" vertical="center"/>
      <protection locked="0"/>
    </xf>
    <xf numFmtId="164" fontId="3" fillId="3" borderId="14" xfId="0" applyNumberFormat="1" applyFont="1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3" fillId="5" borderId="14" xfId="0" applyFont="1" applyFill="1" applyBorder="1" applyAlignment="1" applyProtection="1">
      <alignment horizontal="center" vertical="center"/>
      <protection hidden="1"/>
    </xf>
    <xf numFmtId="0" fontId="3" fillId="5" borderId="15" xfId="0" applyFont="1" applyFill="1" applyBorder="1" applyAlignment="1" applyProtection="1">
      <alignment horizontal="center" vertical="center"/>
      <protection hidden="1"/>
    </xf>
    <xf numFmtId="0" fontId="3" fillId="5" borderId="16" xfId="0" applyFont="1" applyFill="1" applyBorder="1" applyAlignment="1" applyProtection="1">
      <alignment horizontal="center" vertical="center"/>
      <protection hidden="1"/>
    </xf>
    <xf numFmtId="165" fontId="8" fillId="4" borderId="14" xfId="0" applyNumberFormat="1" applyFont="1" applyFill="1" applyBorder="1" applyAlignment="1" applyProtection="1">
      <alignment horizontal="center" vertical="center"/>
      <protection hidden="1"/>
    </xf>
    <xf numFmtId="164" fontId="8" fillId="4" borderId="14" xfId="0" applyNumberFormat="1" applyFont="1" applyFill="1" applyBorder="1" applyAlignment="1" applyProtection="1">
      <alignment horizontal="center" vertical="center"/>
      <protection hidden="1"/>
    </xf>
    <xf numFmtId="0" fontId="0" fillId="5" borderId="14" xfId="0" applyFill="1" applyBorder="1" applyAlignment="1" applyProtection="1">
      <alignment horizontal="center" vertical="center"/>
      <protection hidden="1"/>
    </xf>
    <xf numFmtId="0" fontId="0" fillId="5" borderId="15" xfId="0" applyFill="1" applyBorder="1" applyAlignment="1" applyProtection="1">
      <alignment horizontal="center" vertical="center"/>
      <protection hidden="1"/>
    </xf>
    <xf numFmtId="0" fontId="0" fillId="5" borderId="16" xfId="0" applyFill="1" applyBorder="1" applyAlignment="1" applyProtection="1">
      <alignment horizontal="center" vertical="center"/>
      <protection hidden="1"/>
    </xf>
    <xf numFmtId="0" fontId="9" fillId="0" borderId="0" xfId="0" applyFont="1" applyAlignment="1">
      <alignment vertical="center"/>
    </xf>
    <xf numFmtId="0" fontId="3" fillId="4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vertical="center"/>
    </xf>
    <xf numFmtId="0" fontId="3" fillId="2" borderId="13" xfId="0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20" xfId="0" applyNumberFormat="1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21" xfId="0" applyNumberFormat="1" applyFont="1" applyFill="1" applyBorder="1" applyAlignment="1">
      <alignment horizontal="center" vertical="center" wrapText="1"/>
    </xf>
    <xf numFmtId="164" fontId="3" fillId="3" borderId="13" xfId="0" applyNumberFormat="1" applyFont="1" applyFill="1" applyBorder="1" applyAlignment="1" applyProtection="1">
      <alignment horizontal="center" vertical="center"/>
      <protection locked="0"/>
    </xf>
    <xf numFmtId="165" fontId="3" fillId="4" borderId="13" xfId="0" applyNumberFormat="1" applyFont="1" applyFill="1" applyBorder="1" applyAlignment="1" applyProtection="1">
      <alignment horizontal="center" vertical="center"/>
      <protection hidden="1"/>
    </xf>
    <xf numFmtId="164" fontId="8" fillId="4" borderId="13" xfId="0" applyNumberFormat="1" applyFont="1" applyFill="1" applyBorder="1" applyAlignment="1" applyProtection="1">
      <alignment horizontal="center" vertical="center"/>
      <protection hidden="1"/>
    </xf>
    <xf numFmtId="0" fontId="3" fillId="4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165" fontId="8" fillId="3" borderId="13" xfId="0" applyNumberFormat="1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left" vertical="center"/>
    </xf>
    <xf numFmtId="0" fontId="3" fillId="4" borderId="0" xfId="0" applyFont="1" applyFill="1" applyAlignment="1" applyProtection="1">
      <alignment horizontal="center" vertical="center"/>
      <protection locked="0"/>
    </xf>
    <xf numFmtId="0" fontId="11" fillId="4" borderId="0" xfId="0" applyFont="1" applyFill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7" borderId="0" xfId="0" applyFont="1" applyFill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49" fontId="5" fillId="0" borderId="14" xfId="0" applyNumberFormat="1" applyFont="1" applyBorder="1" applyAlignment="1" applyProtection="1">
      <alignment horizontal="left" vertical="center"/>
      <protection locked="0"/>
    </xf>
    <xf numFmtId="49" fontId="5" fillId="0" borderId="15" xfId="0" applyNumberFormat="1" applyFont="1" applyBorder="1" applyAlignment="1" applyProtection="1">
      <alignment horizontal="left" vertical="center"/>
      <protection locked="0"/>
    </xf>
    <xf numFmtId="49" fontId="5" fillId="0" borderId="16" xfId="0" applyNumberFormat="1" applyFont="1" applyBorder="1" applyAlignment="1" applyProtection="1">
      <alignment horizontal="left" vertical="center"/>
      <protection locked="0"/>
    </xf>
    <xf numFmtId="49" fontId="5" fillId="7" borderId="0" xfId="0" applyNumberFormat="1" applyFont="1" applyFill="1" applyAlignment="1">
      <alignment vertical="center"/>
    </xf>
    <xf numFmtId="1" fontId="5" fillId="0" borderId="1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5" fillId="0" borderId="16" xfId="0" applyNumberFormat="1" applyFont="1" applyBorder="1" applyAlignment="1" applyProtection="1">
      <alignment horizontal="center" vertical="center"/>
      <protection locked="0"/>
    </xf>
    <xf numFmtId="49" fontId="5" fillId="2" borderId="14" xfId="0" applyNumberFormat="1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/>
    </xf>
    <xf numFmtId="49" fontId="5" fillId="2" borderId="16" xfId="0" applyNumberFormat="1" applyFont="1" applyFill="1" applyBorder="1" applyAlignment="1">
      <alignment horizontal="center" vertical="center"/>
    </xf>
    <xf numFmtId="14" fontId="5" fillId="0" borderId="14" xfId="0" applyNumberFormat="1" applyFont="1" applyBorder="1" applyAlignment="1" applyProtection="1">
      <alignment horizontal="center" vertical="center"/>
      <protection locked="0"/>
    </xf>
    <xf numFmtId="170" fontId="5" fillId="0" borderId="0" xfId="0" applyNumberFormat="1" applyFont="1" applyAlignment="1">
      <alignment horizontal="left" vertical="center"/>
    </xf>
    <xf numFmtId="166" fontId="5" fillId="0" borderId="14" xfId="0" applyNumberFormat="1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171" fontId="5" fillId="0" borderId="14" xfId="0" applyNumberFormat="1" applyFont="1" applyBorder="1" applyAlignment="1" applyProtection="1">
      <alignment horizontal="center" vertical="center"/>
      <protection locked="0"/>
    </xf>
    <xf numFmtId="171" fontId="5" fillId="0" borderId="16" xfId="0" applyNumberFormat="1" applyFont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>
      <alignment horizontal="left" vertical="center"/>
    </xf>
    <xf numFmtId="0" fontId="5" fillId="0" borderId="13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49" fontId="5" fillId="2" borderId="14" xfId="0" applyNumberFormat="1" applyFont="1" applyFill="1" applyBorder="1" applyAlignment="1">
      <alignment horizontal="left" vertical="center"/>
    </xf>
    <xf numFmtId="49" fontId="5" fillId="2" borderId="16" xfId="0" applyNumberFormat="1" applyFont="1" applyFill="1" applyBorder="1" applyAlignment="1">
      <alignment horizontal="left" vertical="center"/>
    </xf>
    <xf numFmtId="49" fontId="17" fillId="7" borderId="14" xfId="0" applyNumberFormat="1" applyFont="1" applyFill="1" applyBorder="1" applyAlignment="1" applyProtection="1">
      <alignment horizontal="left" vertical="center"/>
      <protection locked="0"/>
    </xf>
    <xf numFmtId="49" fontId="5" fillId="7" borderId="15" xfId="0" applyNumberFormat="1" applyFont="1" applyFill="1" applyBorder="1" applyAlignment="1" applyProtection="1">
      <alignment horizontal="left" vertical="center"/>
      <protection locked="0"/>
    </xf>
    <xf numFmtId="49" fontId="5" fillId="7" borderId="16" xfId="0" applyNumberFormat="1" applyFont="1" applyFill="1" applyBorder="1" applyAlignment="1" applyProtection="1">
      <alignment horizontal="left" vertical="center"/>
      <protection locked="0"/>
    </xf>
    <xf numFmtId="49" fontId="5" fillId="2" borderId="13" xfId="0" applyNumberFormat="1" applyFont="1" applyFill="1" applyBorder="1" applyAlignment="1">
      <alignment horizontal="left" vertical="center"/>
    </xf>
    <xf numFmtId="0" fontId="6" fillId="0" borderId="13" xfId="0" applyFont="1" applyBorder="1" applyAlignment="1" applyProtection="1">
      <alignment horizontal="center" vertical="center"/>
      <protection locked="0"/>
    </xf>
    <xf numFmtId="1" fontId="7" fillId="7" borderId="0" xfId="0" applyNumberFormat="1" applyFont="1" applyFill="1" applyAlignment="1" applyProtection="1">
      <alignment vertical="center"/>
      <protection locked="0"/>
    </xf>
    <xf numFmtId="166" fontId="6" fillId="0" borderId="0" xfId="0" applyNumberFormat="1" applyFont="1" applyAlignment="1">
      <alignment horizontal="left" vertical="center"/>
    </xf>
    <xf numFmtId="0" fontId="0" fillId="0" borderId="13" xfId="0" applyBorder="1" applyAlignment="1" applyProtection="1">
      <alignment horizontal="center"/>
      <protection locked="0"/>
    </xf>
    <xf numFmtId="49" fontId="6" fillId="0" borderId="14" xfId="0" applyNumberFormat="1" applyFont="1" applyBorder="1" applyAlignment="1" applyProtection="1">
      <alignment horizontal="center" vertical="center"/>
      <protection locked="0"/>
    </xf>
    <xf numFmtId="49" fontId="6" fillId="0" borderId="15" xfId="0" applyNumberFormat="1" applyFont="1" applyBorder="1" applyAlignment="1" applyProtection="1">
      <alignment horizontal="center" vertical="center"/>
      <protection locked="0"/>
    </xf>
    <xf numFmtId="49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vertical="center"/>
    </xf>
    <xf numFmtId="1" fontId="7" fillId="7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 wrapText="1"/>
    </xf>
    <xf numFmtId="0" fontId="18" fillId="0" borderId="14" xfId="0" applyFont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/>
      <protection locked="0"/>
    </xf>
    <xf numFmtId="0" fontId="18" fillId="0" borderId="16" xfId="0" applyFont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 hidden="1"/>
    </xf>
    <xf numFmtId="0" fontId="6" fillId="0" borderId="15" xfId="0" applyFont="1" applyBorder="1" applyAlignment="1" applyProtection="1">
      <alignment horizontal="center" vertical="center"/>
      <protection locked="0" hidden="1"/>
    </xf>
    <xf numFmtId="49" fontId="5" fillId="0" borderId="0" xfId="0" applyNumberFormat="1" applyFont="1" applyAlignment="1">
      <alignment horizontal="center" vertical="center" wrapText="1"/>
    </xf>
    <xf numFmtId="2" fontId="6" fillId="0" borderId="14" xfId="0" applyNumberFormat="1" applyFont="1" applyBorder="1" applyAlignment="1" applyProtection="1">
      <alignment horizontal="center" vertical="center"/>
      <protection locked="0"/>
    </xf>
    <xf numFmtId="2" fontId="6" fillId="0" borderId="15" xfId="0" applyNumberFormat="1" applyFont="1" applyBorder="1" applyAlignment="1" applyProtection="1">
      <alignment horizontal="center" vertical="center"/>
      <protection locked="0"/>
    </xf>
    <xf numFmtId="49" fontId="6" fillId="0" borderId="16" xfId="0" applyNumberFormat="1" applyFont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center" wrapText="1"/>
    </xf>
    <xf numFmtId="0" fontId="6" fillId="0" borderId="15" xfId="0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hidden="1"/>
    </xf>
    <xf numFmtId="2" fontId="8" fillId="0" borderId="15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" fontId="3" fillId="0" borderId="13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0" fontId="5" fillId="2" borderId="14" xfId="0" applyFont="1" applyFill="1" applyBorder="1" applyAlignment="1" applyProtection="1">
      <alignment horizontal="left" vertical="center" wrapText="1"/>
      <protection hidden="1"/>
    </xf>
    <xf numFmtId="0" fontId="5" fillId="2" borderId="15" xfId="0" applyFont="1" applyFill="1" applyBorder="1" applyAlignment="1" applyProtection="1">
      <alignment horizontal="left" vertical="center" wrapText="1"/>
      <protection hidden="1"/>
    </xf>
    <xf numFmtId="0" fontId="5" fillId="2" borderId="16" xfId="0" applyFont="1" applyFill="1" applyBorder="1" applyAlignment="1" applyProtection="1">
      <alignment horizontal="left" vertical="center" wrapText="1"/>
      <protection hidden="1"/>
    </xf>
    <xf numFmtId="0" fontId="5" fillId="0" borderId="14" xfId="0" applyFont="1" applyBorder="1" applyAlignment="1">
      <alignment horizontal="center" vertical="center"/>
    </xf>
    <xf numFmtId="172" fontId="12" fillId="0" borderId="14" xfId="0" applyNumberFormat="1" applyFont="1" applyBorder="1" applyAlignment="1" applyProtection="1">
      <alignment horizontal="center" vertical="center"/>
      <protection locked="0"/>
    </xf>
    <xf numFmtId="172" fontId="12" fillId="0" borderId="15" xfId="0" applyNumberFormat="1" applyFont="1" applyBorder="1" applyAlignment="1" applyProtection="1">
      <alignment horizontal="center" vertical="center"/>
      <protection locked="0"/>
    </xf>
    <xf numFmtId="172" fontId="12" fillId="0" borderId="16" xfId="0" applyNumberFormat="1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>
      <alignment horizontal="center" vertical="center"/>
    </xf>
    <xf numFmtId="172" fontId="18" fillId="0" borderId="15" xfId="0" applyNumberFormat="1" applyFont="1" applyBorder="1" applyAlignment="1" applyProtection="1">
      <alignment horizontal="center" vertical="center"/>
      <protection locked="0"/>
    </xf>
    <xf numFmtId="172" fontId="18" fillId="0" borderId="16" xfId="0" applyNumberFormat="1" applyFont="1" applyBorder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center" vertical="center"/>
    </xf>
    <xf numFmtId="49" fontId="5" fillId="0" borderId="14" xfId="0" applyNumberFormat="1" applyFont="1" applyBorder="1" applyAlignment="1" applyProtection="1">
      <alignment horizontal="center" vertical="center"/>
      <protection locked="0"/>
    </xf>
    <xf numFmtId="49" fontId="5" fillId="0" borderId="15" xfId="0" applyNumberFormat="1" applyFont="1" applyBorder="1" applyAlignment="1" applyProtection="1">
      <alignment horizontal="center" vertical="center"/>
      <protection locked="0"/>
    </xf>
    <xf numFmtId="49" fontId="5" fillId="0" borderId="16" xfId="0" applyNumberFormat="1" applyFont="1" applyBorder="1" applyAlignment="1" applyProtection="1">
      <alignment horizontal="center" vertical="center"/>
      <protection locked="0"/>
    </xf>
    <xf numFmtId="49" fontId="3" fillId="0" borderId="14" xfId="0" applyNumberFormat="1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 vertical="center"/>
      <protection locked="0"/>
    </xf>
    <xf numFmtId="49" fontId="3" fillId="0" borderId="16" xfId="0" applyNumberFormat="1" applyFont="1" applyBorder="1" applyAlignment="1" applyProtection="1">
      <alignment horizontal="center" vertical="center"/>
      <protection locked="0"/>
    </xf>
    <xf numFmtId="49" fontId="5" fillId="0" borderId="13" xfId="0" applyNumberFormat="1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49" fontId="17" fillId="0" borderId="14" xfId="0" applyNumberFormat="1" applyFont="1" applyBorder="1" applyAlignment="1" applyProtection="1">
      <alignment horizontal="left" vertical="center"/>
      <protection locked="0"/>
    </xf>
    <xf numFmtId="49" fontId="5" fillId="7" borderId="13" xfId="0" applyNumberFormat="1" applyFont="1" applyFill="1" applyBorder="1" applyAlignment="1" applyProtection="1">
      <alignment horizontal="left" vertical="center"/>
      <protection locked="0"/>
    </xf>
    <xf numFmtId="168" fontId="5" fillId="0" borderId="13" xfId="0" applyNumberFormat="1" applyFont="1" applyBorder="1" applyAlignment="1" applyProtection="1">
      <alignment horizontal="center" vertical="center"/>
      <protection locked="0"/>
    </xf>
    <xf numFmtId="171" fontId="5" fillId="0" borderId="15" xfId="0" applyNumberFormat="1" applyFont="1" applyBorder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8" fillId="0" borderId="5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2" fontId="18" fillId="0" borderId="15" xfId="0" applyNumberFormat="1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13" xfId="0" applyFont="1" applyBorder="1" applyAlignment="1">
      <alignment horizontal="center" vertical="center"/>
    </xf>
    <xf numFmtId="0" fontId="18" fillId="0" borderId="18" xfId="0" applyFont="1" applyBorder="1" applyAlignment="1" applyProtection="1">
      <alignment horizontal="center" vertical="center"/>
      <protection locked="0"/>
    </xf>
    <xf numFmtId="165" fontId="20" fillId="0" borderId="13" xfId="0" applyNumberFormat="1" applyFont="1" applyBorder="1" applyAlignment="1" applyProtection="1">
      <alignment horizontal="center" vertical="center"/>
      <protection locked="0" hidden="1"/>
    </xf>
    <xf numFmtId="165" fontId="6" fillId="0" borderId="25" xfId="0" applyNumberFormat="1" applyFont="1" applyBorder="1" applyAlignment="1" applyProtection="1">
      <alignment vertical="center"/>
      <protection locked="0" hidden="1"/>
    </xf>
    <xf numFmtId="2" fontId="18" fillId="0" borderId="15" xfId="0" applyNumberFormat="1" applyFont="1" applyBorder="1" applyAlignment="1" applyProtection="1">
      <alignment horizontal="center" vertical="center"/>
      <protection locked="0"/>
    </xf>
    <xf numFmtId="2" fontId="18" fillId="0" borderId="16" xfId="0" applyNumberFormat="1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>
      <alignment vertical="center"/>
    </xf>
    <xf numFmtId="14" fontId="6" fillId="0" borderId="13" xfId="0" applyNumberFormat="1" applyFont="1" applyBorder="1" applyAlignment="1" applyProtection="1">
      <alignment horizontal="center" vertical="center"/>
      <protection locked="0" hidden="1"/>
    </xf>
    <xf numFmtId="0" fontId="6" fillId="0" borderId="13" xfId="0" applyFont="1" applyBorder="1" applyAlignment="1" applyProtection="1">
      <alignment horizontal="center" vertical="center"/>
      <protection hidden="1"/>
    </xf>
    <xf numFmtId="17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173" fontId="5" fillId="0" borderId="14" xfId="0" applyNumberFormat="1" applyFont="1" applyBorder="1" applyAlignment="1">
      <alignment horizontal="left" vertical="center" wrapText="1"/>
    </xf>
    <xf numFmtId="173" fontId="5" fillId="0" borderId="15" xfId="0" applyNumberFormat="1" applyFont="1" applyBorder="1" applyAlignment="1">
      <alignment horizontal="left" vertical="center" wrapText="1"/>
    </xf>
    <xf numFmtId="173" fontId="5" fillId="0" borderId="16" xfId="0" applyNumberFormat="1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26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 vertical="center" wrapText="1"/>
    </xf>
    <xf numFmtId="0" fontId="3" fillId="4" borderId="27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0" xfId="0" applyFont="1" applyFill="1" applyAlignment="1" applyProtection="1">
      <alignment horizontal="left" vertical="center" wrapText="1"/>
      <protection locked="0"/>
    </xf>
    <xf numFmtId="0" fontId="3" fillId="4" borderId="0" xfId="0" applyFont="1" applyFill="1" applyAlignment="1">
      <alignment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14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>
      <alignment vertical="center"/>
    </xf>
    <xf numFmtId="14" fontId="1" fillId="0" borderId="27" xfId="0" applyNumberFormat="1" applyFont="1" applyBorder="1" applyAlignment="1" applyProtection="1">
      <alignment vertical="center"/>
      <protection locked="0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37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2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9" fontId="1" fillId="0" borderId="39" xfId="0" applyNumberFormat="1" applyFont="1" applyBorder="1" applyAlignment="1" applyProtection="1">
      <alignment horizontal="center" vertical="center"/>
      <protection hidden="1"/>
    </xf>
    <xf numFmtId="9" fontId="1" fillId="0" borderId="32" xfId="0" applyNumberFormat="1" applyFont="1" applyBorder="1" applyAlignment="1" applyProtection="1">
      <alignment horizontal="center" vertical="center"/>
      <protection hidden="1"/>
    </xf>
    <xf numFmtId="0" fontId="3" fillId="5" borderId="39" xfId="0" applyFont="1" applyFill="1" applyBorder="1" applyAlignment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/>
    </xf>
    <xf numFmtId="174" fontId="3" fillId="0" borderId="0" xfId="0" applyNumberFormat="1" applyFont="1" applyAlignment="1">
      <alignment horizontal="center" vertical="center"/>
    </xf>
    <xf numFmtId="0" fontId="21" fillId="8" borderId="40" xfId="0" applyFont="1" applyFill="1" applyBorder="1" applyAlignment="1">
      <alignment horizontal="center" vertical="center" wrapText="1"/>
    </xf>
    <xf numFmtId="0" fontId="21" fillId="9" borderId="40" xfId="0" applyFont="1" applyFill="1" applyBorder="1" applyAlignment="1">
      <alignment horizontal="center" vertical="center" wrapText="1"/>
    </xf>
    <xf numFmtId="0" fontId="22" fillId="10" borderId="41" xfId="0" applyFont="1" applyFill="1" applyBorder="1" applyAlignment="1">
      <alignment horizontal="center" vertical="center" wrapText="1"/>
    </xf>
    <xf numFmtId="0" fontId="22" fillId="11" borderId="40" xfId="0" applyFont="1" applyFill="1" applyBorder="1" applyAlignment="1">
      <alignment vertical="center" wrapText="1"/>
    </xf>
    <xf numFmtId="0" fontId="22" fillId="10" borderId="42" xfId="0" applyFont="1" applyFill="1" applyBorder="1" applyAlignment="1">
      <alignment horizontal="center" vertical="center" wrapText="1"/>
    </xf>
    <xf numFmtId="0" fontId="22" fillId="10" borderId="43" xfId="0" applyFont="1" applyFill="1" applyBorder="1" applyAlignment="1">
      <alignment horizontal="center" vertical="center" wrapText="1"/>
    </xf>
    <xf numFmtId="0" fontId="22" fillId="10" borderId="40" xfId="0" applyFont="1" applyFill="1" applyBorder="1" applyAlignment="1">
      <alignment horizontal="center" vertical="center" wrapText="1"/>
    </xf>
    <xf numFmtId="0" fontId="0" fillId="10" borderId="44" xfId="0" applyFill="1" applyBorder="1"/>
  </cellXfs>
  <cellStyles count="1">
    <cellStyle name="Normal" xfId="0" builtinId="0"/>
  </cellStyles>
  <dxfs count="7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/>
    <dxf>
      <fill>
        <patternFill>
          <bgColor rgb="FFFF0000"/>
        </patternFill>
      </fill>
    </dxf>
    <dxf/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/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/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/>
        <right style="thin"/>
        <top/>
        <bottom/>
        <diagonal/>
      </border>
    </dxf>
    <dxf>
      <fill>
        <patternFill>
          <bgColor rgb="FF00B050"/>
        </patternFill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25077</xdr:colOff>
      <xdr:row>2</xdr:row>
      <xdr:rowOff>190498</xdr:rowOff>
    </xdr:from>
    <xdr:to>
      <xdr:col>5</xdr:col>
      <xdr:colOff>13944</xdr:colOff>
      <xdr:row>4</xdr:row>
      <xdr:rowOff>244928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489858</xdr:colOff>
      <xdr:row>100</xdr:row>
      <xdr:rowOff>503464</xdr:rowOff>
    </xdr:from>
    <xdr:to>
      <xdr:col>7</xdr:col>
      <xdr:colOff>369421</xdr:colOff>
      <xdr:row>101</xdr:row>
      <xdr:rowOff>544286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25</xdr:col>
      <xdr:colOff>231322</xdr:colOff>
      <xdr:row>109</xdr:row>
      <xdr:rowOff>163286</xdr:rowOff>
    </xdr:from>
    <xdr:to>
      <xdr:col>30</xdr:col>
      <xdr:colOff>219742</xdr:colOff>
      <xdr:row>113</xdr:row>
      <xdr:rowOff>54429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38100</xdr:rowOff>
    </xdr:from>
    <xdr:to>
      <xdr:col>2</xdr:col>
      <xdr:colOff>609600</xdr:colOff>
      <xdr:row>1</xdr:row>
      <xdr:rowOff>390525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3" Type="http://schemas.openxmlformats.org/officeDocument/2006/relationships/drawing" Target="../drawings/drawing2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3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 zoomScale="100" zoomScaleNormal="100">
      <selection activeCell="E7" sqref="E7"/>
    </sheetView>
  </sheetViews>
  <sheetFormatPr defaultRowHeight="14.45" outlineLevelRow="0" outlineLevelCol="0" x14ac:dyDescent="0" defaultColWidth="9.140625" customHeight="1"/>
  <cols>
    <col min="1" max="1" width="14.5703125" customWidth="1"/>
    <col min="2" max="2" width="25.5703125" customWidth="1"/>
    <col min="3" max="3" width="32.42578125" customWidth="1"/>
  </cols>
  <sheetData>
    <row r="1" ht="66" customHeight="1" x14ac:dyDescent="0.25"/>
    <row r="2" ht="15.6" customHeight="1" spans="1:3" x14ac:dyDescent="0.25">
      <c r="A2" s="371" t="s">
        <v>311</v>
      </c>
      <c r="B2" s="371"/>
      <c r="C2" s="372" t="s">
        <v>312</v>
      </c>
    </row>
    <row r="3" spans="1:3" x14ac:dyDescent="0.25">
      <c r="A3" s="373" t="s">
        <v>313</v>
      </c>
      <c r="B3" s="373" t="s">
        <v>314</v>
      </c>
      <c r="C3" s="374" t="s">
        <v>315</v>
      </c>
    </row>
    <row r="4" ht="24" customHeight="1" spans="1:3" x14ac:dyDescent="0.25">
      <c r="A4" s="375"/>
      <c r="B4" s="375"/>
      <c r="C4" s="374" t="s">
        <v>316</v>
      </c>
    </row>
    <row r="5" ht="48" customHeight="1" spans="1:3" x14ac:dyDescent="0.25">
      <c r="A5" s="375"/>
      <c r="B5" s="375"/>
      <c r="C5" s="374" t="s">
        <v>317</v>
      </c>
    </row>
    <row r="6" spans="1:3" x14ac:dyDescent="0.25">
      <c r="A6" s="375"/>
      <c r="B6" s="375"/>
      <c r="C6" s="374" t="s">
        <v>318</v>
      </c>
    </row>
    <row r="7" ht="24" customHeight="1" spans="1:3" x14ac:dyDescent="0.25">
      <c r="A7" s="375"/>
      <c r="B7" s="375"/>
      <c r="C7" s="374" t="s">
        <v>319</v>
      </c>
    </row>
    <row r="8" ht="36" customHeight="1" spans="1:3" x14ac:dyDescent="0.25">
      <c r="A8" s="375"/>
      <c r="B8" s="376"/>
      <c r="C8" s="374" t="s">
        <v>320</v>
      </c>
    </row>
    <row r="9" spans="1:3" x14ac:dyDescent="0.25">
      <c r="A9" s="375"/>
      <c r="B9" s="377" t="s">
        <v>321</v>
      </c>
      <c r="C9" s="374" t="s">
        <v>322</v>
      </c>
    </row>
    <row r="10" spans="1:3" x14ac:dyDescent="0.25">
      <c r="A10" s="375"/>
      <c r="B10" s="377" t="s">
        <v>323</v>
      </c>
      <c r="C10" s="374" t="s">
        <v>324</v>
      </c>
    </row>
    <row r="11" spans="1:3" x14ac:dyDescent="0.25">
      <c r="A11" s="375"/>
      <c r="B11" s="373" t="s">
        <v>325</v>
      </c>
      <c r="C11" s="374" t="s">
        <v>326</v>
      </c>
    </row>
    <row r="12" ht="24" customHeight="1" spans="1:3" x14ac:dyDescent="0.25">
      <c r="A12" s="375"/>
      <c r="B12" s="376"/>
      <c r="C12" s="374" t="s">
        <v>327</v>
      </c>
    </row>
    <row r="13" spans="1:3" x14ac:dyDescent="0.25">
      <c r="A13" s="375"/>
      <c r="B13" s="373" t="s">
        <v>328</v>
      </c>
      <c r="C13" s="374" t="s">
        <v>329</v>
      </c>
    </row>
    <row r="14" ht="24" customHeight="1" spans="1:3" x14ac:dyDescent="0.25">
      <c r="A14" s="375"/>
      <c r="B14" s="375"/>
      <c r="C14" s="374" t="s">
        <v>330</v>
      </c>
    </row>
    <row r="15" ht="24" customHeight="1" spans="1:3" x14ac:dyDescent="0.25">
      <c r="A15" s="375"/>
      <c r="B15" s="375"/>
      <c r="C15" s="374" t="s">
        <v>331</v>
      </c>
    </row>
    <row r="16" ht="24" customHeight="1" spans="1:3" x14ac:dyDescent="0.25">
      <c r="A16" s="376"/>
      <c r="B16" s="376"/>
      <c r="C16" s="374" t="s">
        <v>332</v>
      </c>
    </row>
    <row r="17" spans="1:3" x14ac:dyDescent="0.25">
      <c r="A17" s="377" t="s">
        <v>333</v>
      </c>
      <c r="B17" s="377" t="s">
        <v>334</v>
      </c>
      <c r="C17" s="374" t="s">
        <v>334</v>
      </c>
    </row>
    <row r="18" ht="36" customHeight="1" spans="1:3" x14ac:dyDescent="0.25">
      <c r="A18" s="373" t="s">
        <v>335</v>
      </c>
      <c r="B18" s="373" t="s">
        <v>336</v>
      </c>
      <c r="C18" s="374" t="s">
        <v>337</v>
      </c>
    </row>
    <row r="19" ht="24" customHeight="1" spans="1:3" x14ac:dyDescent="0.25">
      <c r="A19" s="375"/>
      <c r="B19" s="375"/>
      <c r="C19" s="374" t="s">
        <v>338</v>
      </c>
    </row>
    <row r="20" ht="36" customHeight="1" spans="1:3" x14ac:dyDescent="0.25">
      <c r="A20" s="375"/>
      <c r="B20" s="375"/>
      <c r="C20" s="374" t="s">
        <v>339</v>
      </c>
    </row>
    <row r="21" ht="24" customHeight="1" spans="1:3" x14ac:dyDescent="0.25">
      <c r="A21" s="375"/>
      <c r="B21" s="375"/>
      <c r="C21" s="374" t="s">
        <v>340</v>
      </c>
    </row>
    <row r="22" ht="48" customHeight="1" spans="1:3" x14ac:dyDescent="0.25">
      <c r="A22" s="375"/>
      <c r="B22" s="376"/>
      <c r="C22" s="374" t="s">
        <v>341</v>
      </c>
    </row>
    <row r="23" spans="1:3" x14ac:dyDescent="0.25">
      <c r="A23" s="375"/>
      <c r="B23" s="373" t="s">
        <v>342</v>
      </c>
      <c r="C23" s="374" t="s">
        <v>343</v>
      </c>
    </row>
    <row r="24" ht="24" customHeight="1" spans="1:3" x14ac:dyDescent="0.25">
      <c r="A24" s="375"/>
      <c r="B24" s="375"/>
      <c r="C24" s="374" t="s">
        <v>344</v>
      </c>
    </row>
    <row r="25" ht="36" customHeight="1" spans="1:3" x14ac:dyDescent="0.25">
      <c r="A25" s="375"/>
      <c r="B25" s="376"/>
      <c r="C25" s="374" t="s">
        <v>345</v>
      </c>
    </row>
    <row r="26" spans="1:3" x14ac:dyDescent="0.25">
      <c r="A26" s="375"/>
      <c r="B26" s="373" t="s">
        <v>346</v>
      </c>
      <c r="C26" s="374" t="s">
        <v>347</v>
      </c>
    </row>
    <row r="27" ht="24" customHeight="1" spans="1:3" x14ac:dyDescent="0.25">
      <c r="A27" s="375"/>
      <c r="B27" s="376"/>
      <c r="C27" s="374" t="s">
        <v>348</v>
      </c>
    </row>
    <row r="28" spans="1:3" x14ac:dyDescent="0.25">
      <c r="A28" s="375"/>
      <c r="B28" s="373" t="s">
        <v>349</v>
      </c>
      <c r="C28" s="374" t="s">
        <v>350</v>
      </c>
    </row>
    <row r="29" spans="1:3" x14ac:dyDescent="0.25">
      <c r="A29" s="375"/>
      <c r="B29" s="375"/>
      <c r="C29" s="374" t="s">
        <v>351</v>
      </c>
    </row>
    <row r="30" spans="1:3" x14ac:dyDescent="0.25">
      <c r="A30" s="376"/>
      <c r="B30" s="376"/>
      <c r="C30" s="374" t="s">
        <v>352</v>
      </c>
    </row>
    <row r="31" spans="1:3" x14ac:dyDescent="0.25">
      <c r="A31" s="377" t="s">
        <v>353</v>
      </c>
      <c r="B31" s="377" t="s">
        <v>354</v>
      </c>
      <c r="C31" s="374" t="s">
        <v>354</v>
      </c>
    </row>
    <row r="32" spans="1:3" x14ac:dyDescent="0.25">
      <c r="A32" s="377" t="s">
        <v>355</v>
      </c>
      <c r="B32" s="377" t="s">
        <v>356</v>
      </c>
      <c r="C32" s="374" t="s">
        <v>356</v>
      </c>
    </row>
    <row r="33" spans="1:3" x14ac:dyDescent="0.25">
      <c r="A33" s="377" t="s">
        <v>357</v>
      </c>
      <c r="B33" s="377" t="s">
        <v>358</v>
      </c>
      <c r="C33" s="374" t="s">
        <v>358</v>
      </c>
    </row>
    <row r="34" spans="1:3" x14ac:dyDescent="0.25">
      <c r="A34" s="377" t="s">
        <v>359</v>
      </c>
      <c r="B34" s="377" t="s">
        <v>360</v>
      </c>
      <c r="C34" s="374" t="s">
        <v>360</v>
      </c>
    </row>
    <row r="35" spans="1:3" x14ac:dyDescent="0.25">
      <c r="A35" s="378"/>
      <c r="B35" s="378"/>
      <c r="C35" s="378"/>
    </row>
  </sheetData>
  <sheetProtection selectLockedCells="1"/>
  <mergeCells count="10">
    <mergeCell ref="A3:A16"/>
    <mergeCell ref="B3:B8"/>
    <mergeCell ref="B11:B12"/>
    <mergeCell ref="B13:B16"/>
    <mergeCell ref="A18:A30"/>
    <mergeCell ref="B18:B22"/>
    <mergeCell ref="B23:B25"/>
    <mergeCell ref="B26:B27"/>
    <mergeCell ref="B28:B30"/>
    <mergeCell ref="A35:C35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5"/>
  <sheetViews>
    <sheetView workbookViewId="0" showGridLines="0" zoomScale="110" zoomScaleNormal="100" view="pageBreakPreview">
      <selection activeCell="K3" sqref="K3"/>
    </sheetView>
  </sheetViews>
  <sheetFormatPr defaultRowHeight="14.45" outlineLevelRow="0" outlineLevelCol="0" x14ac:dyDescent="0" customHeight="1"/>
  <cols>
    <col min="1" max="1" width="2" customWidth="1"/>
    <col min="2" max="2" width="7.140625" customWidth="1"/>
    <col min="3" max="3" width="11.7109375" style="143" customWidth="1"/>
    <col min="4" max="4" width="3.140625" customWidth="1"/>
    <col min="5" max="6" width="5.85546875" customWidth="1"/>
    <col min="7" max="7" width="16.5703125" customWidth="1"/>
    <col min="8" max="8" width="8.85546875" customWidth="1"/>
    <col min="9" max="9" width="10.42578125" customWidth="1"/>
    <col min="10" max="10" width="6" customWidth="1"/>
    <col min="11" max="11" width="9.85546875" customWidth="1"/>
    <col min="12" max="12" width="16" customWidth="1"/>
    <col min="13" max="13" width="21.28515625" customWidth="1"/>
    <col min="14" max="14" width="1.5703125" customWidth="1"/>
    <col min="16" max="16" width="34.7109375" style="143" hidden="1" customWidth="1"/>
  </cols>
  <sheetData>
    <row r="1" ht="6" customHeight="1" x14ac:dyDescent="0.25"/>
    <row r="2" ht="34.5" customHeight="1" spans="1:27" x14ac:dyDescent="0.25">
      <c r="A2" s="10"/>
      <c r="B2" s="335"/>
      <c r="C2" s="336"/>
      <c r="D2" s="337" t="s">
        <v>293</v>
      </c>
      <c r="E2" s="337"/>
      <c r="F2" s="336"/>
      <c r="G2" s="336"/>
      <c r="H2" s="336"/>
      <c r="I2" s="336"/>
      <c r="J2" s="336"/>
      <c r="K2" s="336"/>
      <c r="L2" s="336"/>
      <c r="M2" s="338"/>
      <c r="N2" s="10"/>
      <c r="O2" s="10"/>
      <c r="P2" s="33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x14ac:dyDescent="0.25">
      <c r="A3" s="10"/>
      <c r="B3" s="340" t="s">
        <v>294</v>
      </c>
      <c r="C3" s="114"/>
      <c r="D3" s="114"/>
      <c r="E3" s="114"/>
      <c r="F3" s="341"/>
      <c r="G3" s="342">
        <v>11517621</v>
      </c>
      <c r="H3" s="343"/>
      <c r="I3" s="113" t="s">
        <v>295</v>
      </c>
      <c r="J3" s="341"/>
      <c r="K3" s="342" t="s">
        <v>296</v>
      </c>
      <c r="L3" s="344"/>
      <c r="M3" s="345"/>
      <c r="N3" s="10"/>
      <c r="O3" s="10"/>
      <c r="P3" s="339" t="s">
        <v>297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25">
      <c r="A4" s="10"/>
      <c r="B4" s="340" t="s">
        <v>298</v>
      </c>
      <c r="C4" s="114"/>
      <c r="D4" s="341"/>
      <c r="E4" s="342" t="s">
        <v>299</v>
      </c>
      <c r="F4" s="344"/>
      <c r="G4" s="344"/>
      <c r="H4" s="344"/>
      <c r="I4" s="344"/>
      <c r="J4" s="344"/>
      <c r="K4" s="343"/>
      <c r="L4" s="346" t="s">
        <v>300</v>
      </c>
      <c r="M4" s="347">
        <v>45860</v>
      </c>
      <c r="N4" s="10"/>
      <c r="O4" s="10"/>
      <c r="P4" s="339" t="s">
        <v>296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25">
      <c r="A5" s="10"/>
      <c r="B5" s="340" t="s">
        <v>301</v>
      </c>
      <c r="C5" s="114"/>
      <c r="D5" s="114"/>
      <c r="E5" s="114"/>
      <c r="F5" s="341"/>
      <c r="G5" s="342" t="s">
        <v>302</v>
      </c>
      <c r="H5" s="343"/>
      <c r="I5" s="348" t="str">
        <f>IF(G5="","",IF(G5="Ordem de Prioridade","Não preencher as porcentagens, será considerada a ordem","Prencher as porcentagens"))</f>
        <v>Prencher as porcentagens</v>
      </c>
      <c r="J5" s="349"/>
      <c r="K5" s="349"/>
      <c r="L5" s="349"/>
      <c r="M5" s="350"/>
      <c r="N5" s="10"/>
      <c r="O5" s="10"/>
      <c r="P5" s="339" t="s">
        <v>303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5" customHeight="1" spans="1:27" x14ac:dyDescent="0.25">
      <c r="A6" s="10"/>
      <c r="B6" s="351">
        <f>IF(G5="Ordem de Prioridade", "Indicar unidade consumidora que receberá eventual excedente de energia (opcional)","")</f>
      </c>
      <c r="C6" s="352"/>
      <c r="D6" s="352"/>
      <c r="E6" s="352"/>
      <c r="F6" s="352"/>
      <c r="G6" s="352"/>
      <c r="H6" s="352"/>
      <c r="I6" s="352"/>
      <c r="J6" s="352"/>
      <c r="K6" s="352"/>
      <c r="L6" s="344"/>
      <c r="M6" s="345"/>
      <c r="N6" s="10"/>
      <c r="O6" s="10"/>
      <c r="P6" s="339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9.95" customHeight="1" spans="1:27" x14ac:dyDescent="0.25">
      <c r="A7" s="10"/>
      <c r="B7" s="351"/>
      <c r="C7" s="352"/>
      <c r="D7" s="352"/>
      <c r="E7" s="344"/>
      <c r="F7" s="344"/>
      <c r="G7" s="344"/>
      <c r="H7" s="344"/>
      <c r="I7" s="344"/>
      <c r="J7" s="344"/>
      <c r="K7" s="344"/>
      <c r="L7" s="353"/>
      <c r="M7" s="354"/>
      <c r="N7" s="10"/>
      <c r="O7" s="10"/>
      <c r="P7" s="339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0"/>
      <c r="B8" s="355" t="s">
        <v>304</v>
      </c>
      <c r="C8" s="356" t="s">
        <v>305</v>
      </c>
      <c r="D8" s="348" t="s">
        <v>306</v>
      </c>
      <c r="E8" s="349"/>
      <c r="F8" s="357"/>
      <c r="G8" s="348" t="s">
        <v>307</v>
      </c>
      <c r="H8" s="349"/>
      <c r="I8" s="357"/>
      <c r="J8" s="348" t="s">
        <v>308</v>
      </c>
      <c r="K8" s="349"/>
      <c r="L8" s="349"/>
      <c r="M8" s="350"/>
      <c r="N8" s="339"/>
      <c r="O8" s="339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" customHeight="1" spans="1:27" x14ac:dyDescent="0.25">
      <c r="A9" s="10"/>
      <c r="B9" s="358">
        <v>1</v>
      </c>
      <c r="C9" s="359">
        <v>0</v>
      </c>
      <c r="D9" s="117">
        <v>11517621</v>
      </c>
      <c r="E9" s="118"/>
      <c r="F9" s="119"/>
      <c r="G9" s="360" t="s">
        <v>107</v>
      </c>
      <c r="H9" s="361"/>
      <c r="I9" s="362"/>
      <c r="J9" s="117" t="s">
        <v>299</v>
      </c>
      <c r="K9" s="118"/>
      <c r="L9" s="118"/>
      <c r="M9" s="363"/>
      <c r="N9" s="10"/>
      <c r="O9" s="10"/>
      <c r="P9" s="339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5">
      <c r="A10" s="10"/>
      <c r="B10" s="358">
        <v>2</v>
      </c>
      <c r="C10" s="359">
        <v>100</v>
      </c>
      <c r="D10" s="117">
        <v>12996774</v>
      </c>
      <c r="E10" s="118"/>
      <c r="F10" s="119"/>
      <c r="G10" s="360" t="s">
        <v>107</v>
      </c>
      <c r="H10" s="361"/>
      <c r="I10" s="362"/>
      <c r="J10" s="117" t="s">
        <v>309</v>
      </c>
      <c r="K10" s="118"/>
      <c r="L10" s="118"/>
      <c r="M10" s="363"/>
      <c r="N10" s="10"/>
      <c r="O10" s="10"/>
      <c r="P10" s="29" t="s">
        <v>107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10"/>
      <c r="B11" s="358">
        <v>3</v>
      </c>
      <c r="C11" s="359"/>
      <c r="D11" s="117"/>
      <c r="E11" s="118"/>
      <c r="F11" s="119"/>
      <c r="G11" s="360"/>
      <c r="H11" s="361"/>
      <c r="I11" s="362"/>
      <c r="J11" s="117"/>
      <c r="K11" s="118"/>
      <c r="L11" s="118"/>
      <c r="M11" s="363"/>
      <c r="N11" s="10"/>
      <c r="O11" s="10"/>
      <c r="P11" s="29" t="s">
        <v>112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5">
      <c r="A12" s="10"/>
      <c r="B12" s="358">
        <v>4</v>
      </c>
      <c r="C12" s="359"/>
      <c r="D12" s="117"/>
      <c r="E12" s="118"/>
      <c r="F12" s="119"/>
      <c r="G12" s="360"/>
      <c r="H12" s="361"/>
      <c r="I12" s="362"/>
      <c r="J12" s="117"/>
      <c r="K12" s="118"/>
      <c r="L12" s="118"/>
      <c r="M12" s="363"/>
      <c r="N12" s="10"/>
      <c r="O12" s="10"/>
      <c r="P12" s="29" t="s">
        <v>117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5">
      <c r="A13" s="10"/>
      <c r="B13" s="358">
        <v>5</v>
      </c>
      <c r="C13" s="359"/>
      <c r="D13" s="117"/>
      <c r="E13" s="118"/>
      <c r="F13" s="119"/>
      <c r="G13" s="360"/>
      <c r="H13" s="361"/>
      <c r="I13" s="362"/>
      <c r="J13" s="117"/>
      <c r="K13" s="118"/>
      <c r="L13" s="118"/>
      <c r="M13" s="363"/>
      <c r="N13" s="10"/>
      <c r="O13" s="10"/>
      <c r="P13" s="29" t="s">
        <v>121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5">
      <c r="A14" s="10"/>
      <c r="B14" s="358">
        <v>6</v>
      </c>
      <c r="C14" s="359"/>
      <c r="D14" s="117"/>
      <c r="E14" s="118"/>
      <c r="F14" s="119"/>
      <c r="G14" s="360"/>
      <c r="H14" s="361"/>
      <c r="I14" s="362"/>
      <c r="J14" s="117"/>
      <c r="K14" s="118"/>
      <c r="L14" s="118"/>
      <c r="M14" s="363"/>
      <c r="N14" s="10"/>
      <c r="O14" s="10"/>
      <c r="P14" s="29" t="s">
        <v>127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5">
      <c r="A15" s="10"/>
      <c r="B15" s="358">
        <v>7</v>
      </c>
      <c r="C15" s="359"/>
      <c r="D15" s="117"/>
      <c r="E15" s="118"/>
      <c r="F15" s="119"/>
      <c r="G15" s="360"/>
      <c r="H15" s="361"/>
      <c r="I15" s="362"/>
      <c r="J15" s="117"/>
      <c r="K15" s="118"/>
      <c r="L15" s="118"/>
      <c r="M15" s="363"/>
      <c r="N15" s="10"/>
      <c r="O15" s="10"/>
      <c r="P15" s="29" t="s">
        <v>132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25">
      <c r="A16" s="10"/>
      <c r="B16" s="358">
        <v>8</v>
      </c>
      <c r="C16" s="359"/>
      <c r="D16" s="117"/>
      <c r="E16" s="118"/>
      <c r="F16" s="119"/>
      <c r="G16" s="360"/>
      <c r="H16" s="361"/>
      <c r="I16" s="362"/>
      <c r="J16" s="117"/>
      <c r="K16" s="118"/>
      <c r="L16" s="118"/>
      <c r="M16" s="363"/>
      <c r="N16" s="10"/>
      <c r="O16" s="10"/>
      <c r="P16" s="29" t="s">
        <v>139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x14ac:dyDescent="0.25">
      <c r="A17" s="10"/>
      <c r="B17" s="358">
        <v>9</v>
      </c>
      <c r="C17" s="359"/>
      <c r="D17" s="117"/>
      <c r="E17" s="118"/>
      <c r="F17" s="119"/>
      <c r="G17" s="360"/>
      <c r="H17" s="361"/>
      <c r="I17" s="362"/>
      <c r="J17" s="117"/>
      <c r="K17" s="118"/>
      <c r="L17" s="118"/>
      <c r="M17" s="363"/>
      <c r="N17" s="10"/>
      <c r="O17" s="10"/>
      <c r="P17" s="29" t="s">
        <v>144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25">
      <c r="A18" s="10"/>
      <c r="B18" s="358">
        <v>10</v>
      </c>
      <c r="C18" s="359"/>
      <c r="D18" s="117"/>
      <c r="E18" s="118"/>
      <c r="F18" s="119"/>
      <c r="G18" s="360"/>
      <c r="H18" s="361"/>
      <c r="I18" s="362"/>
      <c r="J18" s="117"/>
      <c r="K18" s="118"/>
      <c r="L18" s="118"/>
      <c r="M18" s="363"/>
      <c r="N18" s="10"/>
      <c r="O18" s="10"/>
      <c r="P18" s="339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x14ac:dyDescent="0.25">
      <c r="A19" s="10"/>
      <c r="B19" s="358">
        <v>11</v>
      </c>
      <c r="C19" s="359"/>
      <c r="D19" s="117"/>
      <c r="E19" s="118"/>
      <c r="F19" s="119"/>
      <c r="G19" s="360"/>
      <c r="H19" s="361"/>
      <c r="I19" s="362"/>
      <c r="J19" s="117"/>
      <c r="K19" s="118"/>
      <c r="L19" s="118"/>
      <c r="M19" s="363"/>
      <c r="N19" s="10"/>
      <c r="O19" s="10"/>
      <c r="P19" s="339" t="s">
        <v>310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5">
      <c r="A20" s="10"/>
      <c r="B20" s="358">
        <v>12</v>
      </c>
      <c r="C20" s="359"/>
      <c r="D20" s="117"/>
      <c r="E20" s="118"/>
      <c r="F20" s="119"/>
      <c r="G20" s="360"/>
      <c r="H20" s="361"/>
      <c r="I20" s="362"/>
      <c r="J20" s="117"/>
      <c r="K20" s="118"/>
      <c r="L20" s="118"/>
      <c r="M20" s="363"/>
      <c r="N20" s="10"/>
      <c r="O20" s="10"/>
      <c r="P20" s="339" t="s">
        <v>302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x14ac:dyDescent="0.25">
      <c r="A21" s="10"/>
      <c r="B21" s="358">
        <v>13</v>
      </c>
      <c r="C21" s="359"/>
      <c r="D21" s="117"/>
      <c r="E21" s="118"/>
      <c r="F21" s="119"/>
      <c r="G21" s="360"/>
      <c r="H21" s="361"/>
      <c r="I21" s="362"/>
      <c r="J21" s="117"/>
      <c r="K21" s="118"/>
      <c r="L21" s="118"/>
      <c r="M21" s="363"/>
      <c r="N21" s="10"/>
      <c r="O21" s="10"/>
      <c r="P21" s="339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x14ac:dyDescent="0.25">
      <c r="A22" s="10"/>
      <c r="B22" s="358">
        <v>14</v>
      </c>
      <c r="C22" s="359"/>
      <c r="D22" s="117"/>
      <c r="E22" s="118"/>
      <c r="F22" s="119"/>
      <c r="G22" s="360"/>
      <c r="H22" s="361"/>
      <c r="I22" s="362"/>
      <c r="J22" s="117"/>
      <c r="K22" s="118"/>
      <c r="L22" s="118"/>
      <c r="M22" s="363"/>
      <c r="N22" s="10"/>
      <c r="O22" s="10"/>
      <c r="P22" s="339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x14ac:dyDescent="0.25">
      <c r="A23" s="10"/>
      <c r="B23" s="358">
        <v>15</v>
      </c>
      <c r="C23" s="359"/>
      <c r="D23" s="117"/>
      <c r="E23" s="118"/>
      <c r="F23" s="119"/>
      <c r="G23" s="360"/>
      <c r="H23" s="361"/>
      <c r="I23" s="362"/>
      <c r="J23" s="117"/>
      <c r="K23" s="118"/>
      <c r="L23" s="118"/>
      <c r="M23" s="363"/>
      <c r="N23" s="10"/>
      <c r="O23" s="10"/>
      <c r="P23" s="339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x14ac:dyDescent="0.25">
      <c r="A24" s="10"/>
      <c r="B24" s="358">
        <v>16</v>
      </c>
      <c r="C24" s="359"/>
      <c r="D24" s="117"/>
      <c r="E24" s="118"/>
      <c r="F24" s="119"/>
      <c r="G24" s="360"/>
      <c r="H24" s="361"/>
      <c r="I24" s="362"/>
      <c r="J24" s="117"/>
      <c r="K24" s="118"/>
      <c r="L24" s="118"/>
      <c r="M24" s="363"/>
      <c r="N24" s="10"/>
      <c r="O24" s="10"/>
      <c r="P24" s="339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x14ac:dyDescent="0.25">
      <c r="A25" s="10"/>
      <c r="B25" s="358">
        <v>17</v>
      </c>
      <c r="C25" s="359"/>
      <c r="D25" s="117"/>
      <c r="E25" s="118"/>
      <c r="F25" s="119"/>
      <c r="G25" s="360"/>
      <c r="H25" s="361"/>
      <c r="I25" s="362"/>
      <c r="J25" s="117"/>
      <c r="K25" s="118"/>
      <c r="L25" s="118"/>
      <c r="M25" s="363"/>
      <c r="N25" s="10"/>
      <c r="O25" s="10"/>
      <c r="P25" s="339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x14ac:dyDescent="0.25">
      <c r="A26" s="10"/>
      <c r="B26" s="358">
        <v>18</v>
      </c>
      <c r="C26" s="359"/>
      <c r="D26" s="117"/>
      <c r="E26" s="118"/>
      <c r="F26" s="119"/>
      <c r="G26" s="360"/>
      <c r="H26" s="361"/>
      <c r="I26" s="362"/>
      <c r="J26" s="117"/>
      <c r="K26" s="118"/>
      <c r="L26" s="118"/>
      <c r="M26" s="363"/>
      <c r="N26" s="10"/>
      <c r="O26" s="10"/>
      <c r="P26" s="339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x14ac:dyDescent="0.25">
      <c r="A27" s="10"/>
      <c r="B27" s="358">
        <v>19</v>
      </c>
      <c r="C27" s="359"/>
      <c r="D27" s="117"/>
      <c r="E27" s="118"/>
      <c r="F27" s="119"/>
      <c r="G27" s="360"/>
      <c r="H27" s="361"/>
      <c r="I27" s="362"/>
      <c r="J27" s="117"/>
      <c r="K27" s="118"/>
      <c r="L27" s="118"/>
      <c r="M27" s="363"/>
      <c r="N27" s="10"/>
      <c r="O27" s="10"/>
      <c r="P27" s="339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x14ac:dyDescent="0.25">
      <c r="A28" s="10"/>
      <c r="B28" s="358">
        <v>20</v>
      </c>
      <c r="C28" s="359"/>
      <c r="D28" s="117"/>
      <c r="E28" s="118"/>
      <c r="F28" s="119"/>
      <c r="G28" s="360"/>
      <c r="H28" s="361"/>
      <c r="I28" s="362"/>
      <c r="J28" s="117"/>
      <c r="K28" s="118"/>
      <c r="L28" s="118"/>
      <c r="M28" s="363"/>
      <c r="N28" s="10"/>
      <c r="O28" s="10"/>
      <c r="P28" s="339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x14ac:dyDescent="0.25">
      <c r="A29" s="10"/>
      <c r="B29" s="358">
        <v>21</v>
      </c>
      <c r="C29" s="359"/>
      <c r="D29" s="117"/>
      <c r="E29" s="118"/>
      <c r="F29" s="119"/>
      <c r="G29" s="360"/>
      <c r="H29" s="361"/>
      <c r="I29" s="362"/>
      <c r="J29" s="117"/>
      <c r="K29" s="118"/>
      <c r="L29" s="118"/>
      <c r="M29" s="363"/>
      <c r="N29" s="10"/>
      <c r="O29" s="10"/>
      <c r="P29" s="339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x14ac:dyDescent="0.25">
      <c r="A30" s="10"/>
      <c r="B30" s="358">
        <v>22</v>
      </c>
      <c r="C30" s="359"/>
      <c r="D30" s="117"/>
      <c r="E30" s="118"/>
      <c r="F30" s="119"/>
      <c r="G30" s="360"/>
      <c r="H30" s="361"/>
      <c r="I30" s="362"/>
      <c r="J30" s="117"/>
      <c r="K30" s="118"/>
      <c r="L30" s="118"/>
      <c r="M30" s="363"/>
      <c r="N30" s="10"/>
      <c r="O30" s="10"/>
      <c r="P30" s="339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x14ac:dyDescent="0.25">
      <c r="A31" s="10"/>
      <c r="B31" s="358">
        <v>23</v>
      </c>
      <c r="C31" s="359"/>
      <c r="D31" s="117"/>
      <c r="E31" s="118"/>
      <c r="F31" s="119"/>
      <c r="G31" s="360"/>
      <c r="H31" s="361"/>
      <c r="I31" s="362"/>
      <c r="J31" s="117"/>
      <c r="K31" s="118"/>
      <c r="L31" s="118"/>
      <c r="M31" s="363"/>
      <c r="N31" s="10"/>
      <c r="O31" s="10"/>
      <c r="P31" s="33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x14ac:dyDescent="0.25">
      <c r="A32" s="10"/>
      <c r="B32" s="358">
        <v>24</v>
      </c>
      <c r="C32" s="359"/>
      <c r="D32" s="117"/>
      <c r="E32" s="118"/>
      <c r="F32" s="119"/>
      <c r="G32" s="360"/>
      <c r="H32" s="361"/>
      <c r="I32" s="362"/>
      <c r="J32" s="117"/>
      <c r="K32" s="118"/>
      <c r="L32" s="118"/>
      <c r="M32" s="363"/>
      <c r="N32" s="10"/>
      <c r="O32" s="10"/>
      <c r="P32" s="339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x14ac:dyDescent="0.25">
      <c r="A33" s="10"/>
      <c r="B33" s="358">
        <v>25</v>
      </c>
      <c r="C33" s="359"/>
      <c r="D33" s="117"/>
      <c r="E33" s="118"/>
      <c r="F33" s="119"/>
      <c r="G33" s="360"/>
      <c r="H33" s="361"/>
      <c r="I33" s="362"/>
      <c r="J33" s="117"/>
      <c r="K33" s="118"/>
      <c r="L33" s="118"/>
      <c r="M33" s="363"/>
      <c r="N33" s="10"/>
      <c r="O33" s="10"/>
      <c r="P33" s="339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x14ac:dyDescent="0.25">
      <c r="A34" s="10"/>
      <c r="B34" s="358">
        <v>26</v>
      </c>
      <c r="C34" s="359"/>
      <c r="D34" s="117"/>
      <c r="E34" s="118"/>
      <c r="F34" s="119"/>
      <c r="G34" s="360"/>
      <c r="H34" s="361"/>
      <c r="I34" s="362"/>
      <c r="J34" s="117"/>
      <c r="K34" s="118"/>
      <c r="L34" s="118"/>
      <c r="M34" s="363"/>
      <c r="N34" s="10"/>
      <c r="O34" s="10"/>
      <c r="P34" s="339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x14ac:dyDescent="0.25">
      <c r="A35" s="10"/>
      <c r="B35" s="358">
        <v>27</v>
      </c>
      <c r="C35" s="359"/>
      <c r="D35" s="117"/>
      <c r="E35" s="118"/>
      <c r="F35" s="119"/>
      <c r="G35" s="360"/>
      <c r="H35" s="361"/>
      <c r="I35" s="362"/>
      <c r="J35" s="117"/>
      <c r="K35" s="118"/>
      <c r="L35" s="118"/>
      <c r="M35" s="363"/>
      <c r="N35" s="10"/>
      <c r="O35" s="10"/>
      <c r="P35" s="339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x14ac:dyDescent="0.25">
      <c r="A36" s="10"/>
      <c r="B36" s="358">
        <v>28</v>
      </c>
      <c r="C36" s="359"/>
      <c r="D36" s="117"/>
      <c r="E36" s="118"/>
      <c r="F36" s="119"/>
      <c r="G36" s="360"/>
      <c r="H36" s="361"/>
      <c r="I36" s="362"/>
      <c r="J36" s="117"/>
      <c r="K36" s="118"/>
      <c r="L36" s="118"/>
      <c r="M36" s="363"/>
      <c r="N36" s="10"/>
      <c r="O36" s="10"/>
      <c r="P36" s="339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x14ac:dyDescent="0.25">
      <c r="A37" s="10"/>
      <c r="B37" s="358">
        <v>29</v>
      </c>
      <c r="C37" s="359"/>
      <c r="D37" s="117"/>
      <c r="E37" s="118"/>
      <c r="F37" s="119"/>
      <c r="G37" s="360"/>
      <c r="H37" s="361"/>
      <c r="I37" s="362"/>
      <c r="J37" s="117"/>
      <c r="K37" s="118"/>
      <c r="L37" s="118"/>
      <c r="M37" s="363"/>
      <c r="N37" s="10"/>
      <c r="O37" s="10"/>
      <c r="P37" s="339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x14ac:dyDescent="0.25">
      <c r="A38" s="10"/>
      <c r="B38" s="358">
        <v>30</v>
      </c>
      <c r="C38" s="359"/>
      <c r="D38" s="117"/>
      <c r="E38" s="118"/>
      <c r="F38" s="119"/>
      <c r="G38" s="360"/>
      <c r="H38" s="361"/>
      <c r="I38" s="362"/>
      <c r="J38" s="117"/>
      <c r="K38" s="118"/>
      <c r="L38" s="118"/>
      <c r="M38" s="363"/>
      <c r="N38" s="10"/>
      <c r="O38" s="10"/>
      <c r="P38" s="339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x14ac:dyDescent="0.25">
      <c r="A39" s="10"/>
      <c r="B39" s="358">
        <v>31</v>
      </c>
      <c r="C39" s="359"/>
      <c r="D39" s="117"/>
      <c r="E39" s="118"/>
      <c r="F39" s="119"/>
      <c r="G39" s="360"/>
      <c r="H39" s="361"/>
      <c r="I39" s="362"/>
      <c r="J39" s="117"/>
      <c r="K39" s="118"/>
      <c r="L39" s="118"/>
      <c r="M39" s="363"/>
      <c r="N39" s="10"/>
      <c r="O39" s="10"/>
      <c r="P39" s="339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x14ac:dyDescent="0.25">
      <c r="A40" s="10"/>
      <c r="B40" s="358">
        <v>32</v>
      </c>
      <c r="C40" s="359"/>
      <c r="D40" s="117"/>
      <c r="E40" s="118"/>
      <c r="F40" s="119"/>
      <c r="G40" s="360"/>
      <c r="H40" s="361"/>
      <c r="I40" s="362"/>
      <c r="J40" s="117"/>
      <c r="K40" s="118"/>
      <c r="L40" s="118"/>
      <c r="M40" s="363"/>
      <c r="N40" s="10"/>
      <c r="O40" s="10"/>
      <c r="P40" s="339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x14ac:dyDescent="0.25">
      <c r="A41" s="10"/>
      <c r="B41" s="358">
        <v>33</v>
      </c>
      <c r="C41" s="359"/>
      <c r="D41" s="117"/>
      <c r="E41" s="118"/>
      <c r="F41" s="119"/>
      <c r="G41" s="360"/>
      <c r="H41" s="361"/>
      <c r="I41" s="362"/>
      <c r="J41" s="117"/>
      <c r="K41" s="118"/>
      <c r="L41" s="118"/>
      <c r="M41" s="363"/>
      <c r="N41" s="10"/>
      <c r="O41" s="10"/>
      <c r="P41" s="339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x14ac:dyDescent="0.25">
      <c r="A42" s="10"/>
      <c r="B42" s="358">
        <v>34</v>
      </c>
      <c r="C42" s="359"/>
      <c r="D42" s="117"/>
      <c r="E42" s="118"/>
      <c r="F42" s="119"/>
      <c r="G42" s="360"/>
      <c r="H42" s="361"/>
      <c r="I42" s="362"/>
      <c r="J42" s="117"/>
      <c r="K42" s="118"/>
      <c r="L42" s="118"/>
      <c r="M42" s="363"/>
      <c r="N42" s="10"/>
      <c r="O42" s="10"/>
      <c r="P42" s="339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x14ac:dyDescent="0.25">
      <c r="A43" s="10"/>
      <c r="B43" s="358">
        <v>35</v>
      </c>
      <c r="C43" s="359"/>
      <c r="D43" s="117"/>
      <c r="E43" s="118"/>
      <c r="F43" s="119"/>
      <c r="G43" s="360"/>
      <c r="H43" s="361"/>
      <c r="I43" s="362"/>
      <c r="J43" s="117"/>
      <c r="K43" s="118"/>
      <c r="L43" s="118"/>
      <c r="M43" s="363"/>
      <c r="N43" s="10"/>
      <c r="O43" s="10"/>
      <c r="P43" s="339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x14ac:dyDescent="0.25">
      <c r="A44" s="10"/>
      <c r="B44" s="358">
        <v>36</v>
      </c>
      <c r="C44" s="359"/>
      <c r="D44" s="117"/>
      <c r="E44" s="118"/>
      <c r="F44" s="119"/>
      <c r="G44" s="360"/>
      <c r="H44" s="361"/>
      <c r="I44" s="362"/>
      <c r="J44" s="117"/>
      <c r="K44" s="118"/>
      <c r="L44" s="118"/>
      <c r="M44" s="363"/>
      <c r="N44" s="10"/>
      <c r="O44" s="10"/>
      <c r="P44" s="339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x14ac:dyDescent="0.25">
      <c r="A45" s="10"/>
      <c r="B45" s="358">
        <v>37</v>
      </c>
      <c r="C45" s="359"/>
      <c r="D45" s="117"/>
      <c r="E45" s="118"/>
      <c r="F45" s="119"/>
      <c r="G45" s="360"/>
      <c r="H45" s="361"/>
      <c r="I45" s="362"/>
      <c r="J45" s="117"/>
      <c r="K45" s="118"/>
      <c r="L45" s="118"/>
      <c r="M45" s="363"/>
      <c r="N45" s="10"/>
      <c r="O45" s="10"/>
      <c r="P45" s="339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x14ac:dyDescent="0.25">
      <c r="A46" s="10"/>
      <c r="B46" s="358">
        <v>38</v>
      </c>
      <c r="C46" s="359"/>
      <c r="D46" s="117"/>
      <c r="E46" s="118"/>
      <c r="F46" s="119"/>
      <c r="G46" s="360"/>
      <c r="H46" s="361"/>
      <c r="I46" s="362"/>
      <c r="J46" s="117"/>
      <c r="K46" s="118"/>
      <c r="L46" s="118"/>
      <c r="M46" s="363"/>
      <c r="N46" s="10"/>
      <c r="O46" s="10"/>
      <c r="P46" s="339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x14ac:dyDescent="0.25">
      <c r="A47" s="10"/>
      <c r="B47" s="358">
        <v>39</v>
      </c>
      <c r="C47" s="359"/>
      <c r="D47" s="117"/>
      <c r="E47" s="118"/>
      <c r="F47" s="119"/>
      <c r="G47" s="360"/>
      <c r="H47" s="361"/>
      <c r="I47" s="362"/>
      <c r="J47" s="117"/>
      <c r="K47" s="118"/>
      <c r="L47" s="118"/>
      <c r="M47" s="363"/>
      <c r="N47" s="10"/>
      <c r="O47" s="10"/>
      <c r="P47" s="339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x14ac:dyDescent="0.25">
      <c r="A48" s="10"/>
      <c r="B48" s="358">
        <v>40</v>
      </c>
      <c r="C48" s="359"/>
      <c r="D48" s="117"/>
      <c r="E48" s="118"/>
      <c r="F48" s="119"/>
      <c r="G48" s="360"/>
      <c r="H48" s="361"/>
      <c r="I48" s="362"/>
      <c r="J48" s="117"/>
      <c r="K48" s="118"/>
      <c r="L48" s="118"/>
      <c r="M48" s="363"/>
      <c r="N48" s="10"/>
      <c r="O48" s="10"/>
      <c r="P48" s="339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x14ac:dyDescent="0.25">
      <c r="A49" s="10"/>
      <c r="B49" s="358">
        <v>41</v>
      </c>
      <c r="C49" s="359"/>
      <c r="D49" s="117"/>
      <c r="E49" s="118"/>
      <c r="F49" s="119"/>
      <c r="G49" s="360"/>
      <c r="H49" s="361"/>
      <c r="I49" s="362"/>
      <c r="J49" s="117"/>
      <c r="K49" s="118"/>
      <c r="L49" s="118"/>
      <c r="M49" s="363"/>
      <c r="N49" s="10"/>
      <c r="O49" s="10"/>
      <c r="P49" s="339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x14ac:dyDescent="0.25">
      <c r="A50" s="10"/>
      <c r="B50" s="358">
        <v>42</v>
      </c>
      <c r="C50" s="359"/>
      <c r="D50" s="117"/>
      <c r="E50" s="118"/>
      <c r="F50" s="119"/>
      <c r="G50" s="360"/>
      <c r="H50" s="361"/>
      <c r="I50" s="362"/>
      <c r="J50" s="117"/>
      <c r="K50" s="118"/>
      <c r="L50" s="118"/>
      <c r="M50" s="363"/>
      <c r="N50" s="10"/>
      <c r="O50" s="10"/>
      <c r="P50" s="339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x14ac:dyDescent="0.25">
      <c r="A51" s="10"/>
      <c r="B51" s="358">
        <v>43</v>
      </c>
      <c r="C51" s="359"/>
      <c r="D51" s="117"/>
      <c r="E51" s="118"/>
      <c r="F51" s="119"/>
      <c r="G51" s="360"/>
      <c r="H51" s="361"/>
      <c r="I51" s="362"/>
      <c r="J51" s="117"/>
      <c r="K51" s="118"/>
      <c r="L51" s="118"/>
      <c r="M51" s="363"/>
      <c r="N51" s="10"/>
      <c r="O51" s="10"/>
      <c r="P51" s="339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x14ac:dyDescent="0.25">
      <c r="A52" s="10"/>
      <c r="B52" s="358">
        <v>44</v>
      </c>
      <c r="C52" s="359"/>
      <c r="D52" s="117"/>
      <c r="E52" s="118"/>
      <c r="F52" s="119"/>
      <c r="G52" s="360"/>
      <c r="H52" s="361"/>
      <c r="I52" s="362"/>
      <c r="J52" s="117"/>
      <c r="K52" s="118"/>
      <c r="L52" s="118"/>
      <c r="M52" s="363"/>
      <c r="N52" s="10"/>
      <c r="O52" s="10"/>
      <c r="P52" s="339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x14ac:dyDescent="0.25">
      <c r="A53" s="10"/>
      <c r="B53" s="358">
        <v>45</v>
      </c>
      <c r="C53" s="359"/>
      <c r="D53" s="117"/>
      <c r="E53" s="118"/>
      <c r="F53" s="119"/>
      <c r="G53" s="360"/>
      <c r="H53" s="361"/>
      <c r="I53" s="362"/>
      <c r="J53" s="117"/>
      <c r="K53" s="118"/>
      <c r="L53" s="118"/>
      <c r="M53" s="363"/>
      <c r="N53" s="10"/>
      <c r="O53" s="10"/>
      <c r="P53" s="339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x14ac:dyDescent="0.25">
      <c r="A54" s="10"/>
      <c r="B54" s="358">
        <v>46</v>
      </c>
      <c r="C54" s="359"/>
      <c r="D54" s="117"/>
      <c r="E54" s="118"/>
      <c r="F54" s="119"/>
      <c r="G54" s="360"/>
      <c r="H54" s="361"/>
      <c r="I54" s="362"/>
      <c r="J54" s="117"/>
      <c r="K54" s="118"/>
      <c r="L54" s="118"/>
      <c r="M54" s="363"/>
      <c r="N54" s="10"/>
      <c r="O54" s="10"/>
      <c r="P54" s="339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x14ac:dyDescent="0.25">
      <c r="A55" s="10"/>
      <c r="B55" s="358">
        <v>47</v>
      </c>
      <c r="C55" s="359"/>
      <c r="D55" s="117"/>
      <c r="E55" s="118"/>
      <c r="F55" s="119"/>
      <c r="G55" s="360"/>
      <c r="H55" s="361"/>
      <c r="I55" s="362"/>
      <c r="J55" s="117"/>
      <c r="K55" s="118"/>
      <c r="L55" s="118"/>
      <c r="M55" s="363"/>
      <c r="N55" s="10"/>
      <c r="O55" s="10"/>
      <c r="P55" s="339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x14ac:dyDescent="0.25">
      <c r="A56" s="10"/>
      <c r="B56" s="358">
        <v>48</v>
      </c>
      <c r="C56" s="359"/>
      <c r="D56" s="117"/>
      <c r="E56" s="118"/>
      <c r="F56" s="119"/>
      <c r="G56" s="360"/>
      <c r="H56" s="361"/>
      <c r="I56" s="362"/>
      <c r="J56" s="117"/>
      <c r="K56" s="118"/>
      <c r="L56" s="118"/>
      <c r="M56" s="363"/>
      <c r="N56" s="10"/>
      <c r="O56" s="10"/>
      <c r="P56" s="339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x14ac:dyDescent="0.25">
      <c r="A57" s="10"/>
      <c r="B57" s="358">
        <v>49</v>
      </c>
      <c r="C57" s="359"/>
      <c r="D57" s="117"/>
      <c r="E57" s="118"/>
      <c r="F57" s="119"/>
      <c r="G57" s="360"/>
      <c r="H57" s="361"/>
      <c r="I57" s="362"/>
      <c r="J57" s="117"/>
      <c r="K57" s="118"/>
      <c r="L57" s="118"/>
      <c r="M57" s="363"/>
      <c r="N57" s="10"/>
      <c r="O57" s="10"/>
      <c r="P57" s="339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x14ac:dyDescent="0.25">
      <c r="A58" s="10"/>
      <c r="B58" s="358">
        <v>50</v>
      </c>
      <c r="C58" s="359"/>
      <c r="D58" s="117"/>
      <c r="E58" s="118"/>
      <c r="F58" s="119"/>
      <c r="G58" s="360"/>
      <c r="H58" s="361"/>
      <c r="I58" s="362"/>
      <c r="J58" s="117"/>
      <c r="K58" s="118"/>
      <c r="L58" s="118"/>
      <c r="M58" s="363"/>
      <c r="N58" s="10"/>
      <c r="O58" s="10"/>
      <c r="P58" s="339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x14ac:dyDescent="0.25">
      <c r="A59" s="10"/>
      <c r="B59" s="358">
        <v>51</v>
      </c>
      <c r="C59" s="359"/>
      <c r="D59" s="117"/>
      <c r="E59" s="118"/>
      <c r="F59" s="119"/>
      <c r="G59" s="360"/>
      <c r="H59" s="361"/>
      <c r="I59" s="362"/>
      <c r="J59" s="117"/>
      <c r="K59" s="118"/>
      <c r="L59" s="118"/>
      <c r="M59" s="363"/>
      <c r="N59" s="10"/>
      <c r="O59" s="10"/>
      <c r="P59" s="339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x14ac:dyDescent="0.25">
      <c r="A60" s="10"/>
      <c r="B60" s="358">
        <v>52</v>
      </c>
      <c r="C60" s="359"/>
      <c r="D60" s="117"/>
      <c r="E60" s="118"/>
      <c r="F60" s="119"/>
      <c r="G60" s="360"/>
      <c r="H60" s="361"/>
      <c r="I60" s="362"/>
      <c r="J60" s="117"/>
      <c r="K60" s="118"/>
      <c r="L60" s="118"/>
      <c r="M60" s="363"/>
      <c r="N60" s="10"/>
      <c r="O60" s="10"/>
      <c r="P60" s="339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x14ac:dyDescent="0.25">
      <c r="A61" s="10"/>
      <c r="B61" s="358">
        <v>53</v>
      </c>
      <c r="C61" s="359"/>
      <c r="D61" s="117"/>
      <c r="E61" s="118"/>
      <c r="F61" s="119"/>
      <c r="G61" s="360"/>
      <c r="H61" s="361"/>
      <c r="I61" s="362"/>
      <c r="J61" s="117"/>
      <c r="K61" s="118"/>
      <c r="L61" s="118"/>
      <c r="M61" s="363"/>
      <c r="N61" s="10"/>
      <c r="O61" s="10"/>
      <c r="P61" s="339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x14ac:dyDescent="0.25">
      <c r="A62" s="10"/>
      <c r="B62" s="358">
        <v>54</v>
      </c>
      <c r="C62" s="359"/>
      <c r="D62" s="117"/>
      <c r="E62" s="118"/>
      <c r="F62" s="119"/>
      <c r="G62" s="360"/>
      <c r="H62" s="361"/>
      <c r="I62" s="362"/>
      <c r="J62" s="117"/>
      <c r="K62" s="118"/>
      <c r="L62" s="118"/>
      <c r="M62" s="363"/>
      <c r="N62" s="10"/>
      <c r="O62" s="10"/>
      <c r="P62" s="339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x14ac:dyDescent="0.25">
      <c r="A63" s="10"/>
      <c r="B63" s="358">
        <v>55</v>
      </c>
      <c r="C63" s="359"/>
      <c r="D63" s="117"/>
      <c r="E63" s="118"/>
      <c r="F63" s="119"/>
      <c r="G63" s="360"/>
      <c r="H63" s="361"/>
      <c r="I63" s="362"/>
      <c r="J63" s="117"/>
      <c r="K63" s="118"/>
      <c r="L63" s="118"/>
      <c r="M63" s="363"/>
      <c r="N63" s="10"/>
      <c r="O63" s="10"/>
      <c r="P63" s="339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x14ac:dyDescent="0.25">
      <c r="A64" s="10"/>
      <c r="B64" s="358">
        <v>56</v>
      </c>
      <c r="C64" s="359"/>
      <c r="D64" s="117"/>
      <c r="E64" s="118"/>
      <c r="F64" s="119"/>
      <c r="G64" s="360"/>
      <c r="H64" s="361"/>
      <c r="I64" s="362"/>
      <c r="J64" s="117"/>
      <c r="K64" s="118"/>
      <c r="L64" s="118"/>
      <c r="M64" s="363"/>
      <c r="N64" s="10"/>
      <c r="O64" s="10"/>
      <c r="P64" s="339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x14ac:dyDescent="0.25">
      <c r="A65" s="10"/>
      <c r="B65" s="358">
        <v>57</v>
      </c>
      <c r="C65" s="359"/>
      <c r="D65" s="117"/>
      <c r="E65" s="118"/>
      <c r="F65" s="119"/>
      <c r="G65" s="360"/>
      <c r="H65" s="361"/>
      <c r="I65" s="362"/>
      <c r="J65" s="117"/>
      <c r="K65" s="118"/>
      <c r="L65" s="118"/>
      <c r="M65" s="363"/>
      <c r="N65" s="10"/>
      <c r="O65" s="10"/>
      <c r="P65" s="339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x14ac:dyDescent="0.25">
      <c r="A66" s="10"/>
      <c r="B66" s="358">
        <v>58</v>
      </c>
      <c r="C66" s="359"/>
      <c r="D66" s="117"/>
      <c r="E66" s="118"/>
      <c r="F66" s="119"/>
      <c r="G66" s="360"/>
      <c r="H66" s="361"/>
      <c r="I66" s="362"/>
      <c r="J66" s="117"/>
      <c r="K66" s="118"/>
      <c r="L66" s="118"/>
      <c r="M66" s="363"/>
      <c r="N66" s="10"/>
      <c r="O66" s="10"/>
      <c r="P66" s="339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x14ac:dyDescent="0.25">
      <c r="A67" s="10"/>
      <c r="B67" s="358">
        <v>59</v>
      </c>
      <c r="C67" s="359"/>
      <c r="D67" s="117"/>
      <c r="E67" s="118"/>
      <c r="F67" s="119"/>
      <c r="G67" s="360"/>
      <c r="H67" s="361"/>
      <c r="I67" s="362"/>
      <c r="J67" s="117"/>
      <c r="K67" s="118"/>
      <c r="L67" s="118"/>
      <c r="M67" s="363"/>
      <c r="N67" s="10"/>
      <c r="O67" s="10"/>
      <c r="P67" s="339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x14ac:dyDescent="0.25">
      <c r="A68" s="10"/>
      <c r="B68" s="358">
        <v>60</v>
      </c>
      <c r="C68" s="359"/>
      <c r="D68" s="117"/>
      <c r="E68" s="118"/>
      <c r="F68" s="119"/>
      <c r="G68" s="360"/>
      <c r="H68" s="361"/>
      <c r="I68" s="362"/>
      <c r="J68" s="117"/>
      <c r="K68" s="118"/>
      <c r="L68" s="118"/>
      <c r="M68" s="363"/>
      <c r="N68" s="10"/>
      <c r="O68" s="10"/>
      <c r="P68" s="339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" customHeight="1" spans="1:27" x14ac:dyDescent="0.25">
      <c r="A69" s="10"/>
      <c r="B69" s="364" t="s">
        <v>45</v>
      </c>
      <c r="C69" s="365">
        <f>IF(G5="","",IF(G5="Percentual do Excedente", SUM(C9:C68)/100, "Definir ordem de prioridade"))</f>
        <v>1</v>
      </c>
      <c r="D69" s="366"/>
      <c r="E69" s="366"/>
      <c r="F69" s="366"/>
      <c r="G69" s="367"/>
      <c r="H69" s="368"/>
      <c r="I69" s="368"/>
      <c r="J69" s="368"/>
      <c r="K69" s="368"/>
      <c r="L69" s="368"/>
      <c r="M69" s="369"/>
      <c r="N69" s="10"/>
      <c r="O69" s="10"/>
      <c r="P69" s="339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9" customHeight="1" spans="1:27" x14ac:dyDescent="0.25">
      <c r="A70" s="10"/>
      <c r="B70" s="10"/>
      <c r="C70" s="33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339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x14ac:dyDescent="0.25">
      <c r="A71" s="10"/>
      <c r="B71" s="10"/>
      <c r="C71" s="33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339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x14ac:dyDescent="0.25">
      <c r="A72" s="10"/>
      <c r="B72" s="10"/>
      <c r="C72" s="33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339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x14ac:dyDescent="0.25">
      <c r="A73" s="10"/>
      <c r="B73" s="10"/>
      <c r="C73" s="33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339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x14ac:dyDescent="0.25">
      <c r="A74" s="10"/>
      <c r="B74" s="10"/>
      <c r="C74" s="37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339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x14ac:dyDescent="0.25">
      <c r="A75" s="10"/>
      <c r="B75" s="10"/>
      <c r="C75" s="33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339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x14ac:dyDescent="0.25">
      <c r="A76" s="10"/>
      <c r="B76" s="10"/>
      <c r="C76" s="33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339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x14ac:dyDescent="0.25">
      <c r="A77" s="10"/>
      <c r="B77" s="10"/>
      <c r="C77" s="33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339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x14ac:dyDescent="0.25">
      <c r="A78" s="10"/>
      <c r="B78" s="10"/>
      <c r="C78" s="33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339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x14ac:dyDescent="0.25">
      <c r="A79" s="10"/>
      <c r="B79" s="10"/>
      <c r="C79" s="33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339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x14ac:dyDescent="0.25">
      <c r="A80" s="10"/>
      <c r="B80" s="10"/>
      <c r="C80" s="33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339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x14ac:dyDescent="0.25">
      <c r="A81" s="10"/>
      <c r="B81" s="10"/>
      <c r="C81" s="33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339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x14ac:dyDescent="0.25">
      <c r="A82" s="10"/>
      <c r="B82" s="10"/>
      <c r="C82" s="33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339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x14ac:dyDescent="0.25">
      <c r="A83" s="10"/>
      <c r="B83" s="10"/>
      <c r="C83" s="33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339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x14ac:dyDescent="0.25">
      <c r="A84" s="10"/>
      <c r="B84" s="10"/>
      <c r="C84" s="33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339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x14ac:dyDescent="0.25">
      <c r="A85" s="10"/>
      <c r="B85" s="10"/>
      <c r="C85" s="33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339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x14ac:dyDescent="0.25">
      <c r="A86" s="10"/>
      <c r="B86" s="10"/>
      <c r="C86" s="33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339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x14ac:dyDescent="0.25">
      <c r="A87" s="10"/>
      <c r="B87" s="10"/>
      <c r="C87" s="33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339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x14ac:dyDescent="0.25">
      <c r="A88" s="10"/>
      <c r="B88" s="10"/>
      <c r="C88" s="33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339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x14ac:dyDescent="0.25">
      <c r="A89" s="10"/>
      <c r="B89" s="10"/>
      <c r="C89" s="33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339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x14ac:dyDescent="0.25">
      <c r="A90" s="10"/>
      <c r="B90" s="10"/>
      <c r="C90" s="33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339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x14ac:dyDescent="0.25">
      <c r="A91" s="10"/>
      <c r="B91" s="10"/>
      <c r="C91" s="33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339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x14ac:dyDescent="0.25">
      <c r="A92" s="10"/>
      <c r="B92" s="10"/>
      <c r="C92" s="33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339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x14ac:dyDescent="0.25">
      <c r="A93" s="10"/>
      <c r="B93" s="10"/>
      <c r="C93" s="33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339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x14ac:dyDescent="0.25">
      <c r="A94" s="10"/>
      <c r="B94" s="10"/>
      <c r="C94" s="33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339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x14ac:dyDescent="0.25">
      <c r="A95" s="10"/>
      <c r="B95" s="10"/>
      <c r="C95" s="33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339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x14ac:dyDescent="0.25">
      <c r="A96" s="10"/>
      <c r="B96" s="10"/>
      <c r="C96" s="33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339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x14ac:dyDescent="0.25">
      <c r="A97" s="10"/>
      <c r="B97" s="10"/>
      <c r="C97" s="33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339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x14ac:dyDescent="0.25">
      <c r="A98" s="10"/>
      <c r="B98" s="10"/>
      <c r="C98" s="33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339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x14ac:dyDescent="0.25">
      <c r="A99" s="10"/>
      <c r="B99" s="10"/>
      <c r="C99" s="33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339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x14ac:dyDescent="0.25">
      <c r="A100" s="10"/>
      <c r="B100" s="10"/>
      <c r="C100" s="33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339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x14ac:dyDescent="0.25">
      <c r="A101" s="10"/>
      <c r="B101" s="10"/>
      <c r="C101" s="33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339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x14ac:dyDescent="0.25">
      <c r="A102" s="10"/>
      <c r="B102" s="10"/>
      <c r="C102" s="33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339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x14ac:dyDescent="0.25">
      <c r="A103" s="10"/>
      <c r="B103" s="10"/>
      <c r="C103" s="33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339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x14ac:dyDescent="0.25">
      <c r="A104" s="10"/>
      <c r="B104" s="10"/>
      <c r="C104" s="33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339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x14ac:dyDescent="0.25">
      <c r="A105" s="10"/>
      <c r="B105" s="10"/>
      <c r="C105" s="33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339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x14ac:dyDescent="0.25">
      <c r="A106" s="10"/>
      <c r="B106" s="10"/>
      <c r="C106" s="33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339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x14ac:dyDescent="0.25">
      <c r="A107" s="10"/>
      <c r="B107" s="10"/>
      <c r="C107" s="33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339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x14ac:dyDescent="0.25">
      <c r="A108" s="10"/>
      <c r="B108" s="10"/>
      <c r="C108" s="33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339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x14ac:dyDescent="0.25">
      <c r="A109" s="10"/>
      <c r="B109" s="10"/>
      <c r="C109" s="33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339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x14ac:dyDescent="0.25">
      <c r="A110" s="10"/>
      <c r="B110" s="10"/>
      <c r="C110" s="33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339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x14ac:dyDescent="0.25">
      <c r="A111" s="10"/>
      <c r="B111" s="10"/>
      <c r="C111" s="33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339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x14ac:dyDescent="0.25">
      <c r="A112" s="10"/>
      <c r="B112" s="10"/>
      <c r="C112" s="33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339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x14ac:dyDescent="0.25">
      <c r="A113" s="10"/>
      <c r="B113" s="10"/>
      <c r="C113" s="33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339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x14ac:dyDescent="0.25">
      <c r="A114" s="10"/>
      <c r="B114" s="10"/>
      <c r="C114" s="33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339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x14ac:dyDescent="0.25">
      <c r="A115" s="10"/>
      <c r="B115" s="10"/>
      <c r="C115" s="33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339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x14ac:dyDescent="0.25">
      <c r="A116" s="10"/>
      <c r="B116" s="10"/>
      <c r="C116" s="33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339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x14ac:dyDescent="0.25">
      <c r="A117" s="10"/>
      <c r="B117" s="10"/>
      <c r="C117" s="33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339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x14ac:dyDescent="0.25">
      <c r="A118" s="10"/>
      <c r="B118" s="10"/>
      <c r="C118" s="33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339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x14ac:dyDescent="0.25">
      <c r="A119" s="10"/>
      <c r="B119" s="10"/>
      <c r="C119" s="33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339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x14ac:dyDescent="0.25">
      <c r="A120" s="10"/>
      <c r="B120" s="10"/>
      <c r="C120" s="33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339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x14ac:dyDescent="0.25">
      <c r="A121" s="10"/>
      <c r="B121" s="10"/>
      <c r="C121" s="33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339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x14ac:dyDescent="0.25">
      <c r="A122" s="10"/>
      <c r="B122" s="10"/>
      <c r="C122" s="33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339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x14ac:dyDescent="0.25">
      <c r="A123" s="10"/>
      <c r="B123" s="10"/>
      <c r="C123" s="33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339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x14ac:dyDescent="0.25">
      <c r="A124" s="10"/>
      <c r="B124" s="10"/>
      <c r="C124" s="33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339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x14ac:dyDescent="0.25">
      <c r="A125" s="10"/>
      <c r="B125" s="10"/>
      <c r="C125" s="33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339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x14ac:dyDescent="0.25">
      <c r="A126" s="10"/>
      <c r="B126" s="10"/>
      <c r="C126" s="33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339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x14ac:dyDescent="0.25">
      <c r="A127" s="10"/>
      <c r="B127" s="10"/>
      <c r="C127" s="33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339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x14ac:dyDescent="0.25">
      <c r="A128" s="10"/>
      <c r="B128" s="10"/>
      <c r="C128" s="33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339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x14ac:dyDescent="0.25">
      <c r="A129" s="10"/>
      <c r="B129" s="10"/>
      <c r="C129" s="33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339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x14ac:dyDescent="0.25">
      <c r="A130" s="10"/>
      <c r="B130" s="10"/>
      <c r="C130" s="33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339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x14ac:dyDescent="0.25">
      <c r="A131" s="10"/>
      <c r="B131" s="10"/>
      <c r="C131" s="33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339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x14ac:dyDescent="0.25">
      <c r="A132" s="10"/>
      <c r="B132" s="10"/>
      <c r="C132" s="33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339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x14ac:dyDescent="0.25">
      <c r="A133" s="10"/>
      <c r="B133" s="10"/>
      <c r="C133" s="33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339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x14ac:dyDescent="0.25">
      <c r="A134" s="10"/>
      <c r="B134" s="10"/>
      <c r="C134" s="33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339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x14ac:dyDescent="0.25">
      <c r="A135" s="10"/>
      <c r="B135" s="10"/>
      <c r="C135" s="33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339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x14ac:dyDescent="0.25">
      <c r="A136" s="10"/>
      <c r="B136" s="10"/>
      <c r="C136" s="33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339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x14ac:dyDescent="0.25">
      <c r="A137" s="10"/>
      <c r="B137" s="10"/>
      <c r="C137" s="33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339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x14ac:dyDescent="0.25">
      <c r="A138" s="10"/>
      <c r="B138" s="10"/>
      <c r="C138" s="33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339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x14ac:dyDescent="0.25">
      <c r="A139" s="10"/>
      <c r="B139" s="10"/>
      <c r="C139" s="33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339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x14ac:dyDescent="0.25">
      <c r="A140" s="10"/>
      <c r="B140" s="10"/>
      <c r="C140" s="33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339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x14ac:dyDescent="0.25">
      <c r="A141" s="10"/>
      <c r="B141" s="10"/>
      <c r="C141" s="33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339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x14ac:dyDescent="0.25">
      <c r="A142" s="10"/>
      <c r="B142" s="10"/>
      <c r="C142" s="33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339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x14ac:dyDescent="0.25">
      <c r="A143" s="10"/>
      <c r="B143" s="10"/>
      <c r="C143" s="33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339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x14ac:dyDescent="0.25">
      <c r="A144" s="10"/>
      <c r="B144" s="10"/>
      <c r="C144" s="33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339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x14ac:dyDescent="0.25">
      <c r="A145" s="10"/>
      <c r="B145" s="10"/>
      <c r="C145" s="33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339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x14ac:dyDescent="0.25">
      <c r="A146" s="10"/>
      <c r="B146" s="10"/>
      <c r="C146" s="33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339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x14ac:dyDescent="0.25">
      <c r="A147" s="10"/>
      <c r="B147" s="10"/>
      <c r="C147" s="33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339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x14ac:dyDescent="0.25">
      <c r="A148" s="10"/>
      <c r="B148" s="10"/>
      <c r="C148" s="33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339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x14ac:dyDescent="0.25">
      <c r="A149" s="10"/>
      <c r="B149" s="10"/>
      <c r="C149" s="33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339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x14ac:dyDescent="0.25">
      <c r="A150" s="10"/>
      <c r="B150" s="10"/>
      <c r="C150" s="33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339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x14ac:dyDescent="0.25">
      <c r="A151" s="10"/>
      <c r="B151" s="10"/>
      <c r="C151" s="33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339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x14ac:dyDescent="0.25">
      <c r="A152" s="10"/>
      <c r="B152" s="10"/>
      <c r="C152" s="33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339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x14ac:dyDescent="0.25">
      <c r="A153" s="10"/>
      <c r="B153" s="10"/>
      <c r="C153" s="33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339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x14ac:dyDescent="0.25">
      <c r="A154" s="10"/>
      <c r="B154" s="10"/>
      <c r="C154" s="33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339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x14ac:dyDescent="0.25">
      <c r="A155" s="10"/>
      <c r="B155" s="10"/>
      <c r="C155" s="33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339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x14ac:dyDescent="0.25">
      <c r="A156" s="10"/>
      <c r="B156" s="10"/>
      <c r="C156" s="33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339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x14ac:dyDescent="0.25">
      <c r="A157" s="10"/>
      <c r="B157" s="10"/>
      <c r="C157" s="33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339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x14ac:dyDescent="0.25">
      <c r="A158" s="10"/>
      <c r="B158" s="10"/>
      <c r="C158" s="33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339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x14ac:dyDescent="0.25">
      <c r="A159" s="10"/>
      <c r="B159" s="10"/>
      <c r="C159" s="33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339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x14ac:dyDescent="0.25">
      <c r="A160" s="10"/>
      <c r="B160" s="10"/>
      <c r="C160" s="33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339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x14ac:dyDescent="0.25">
      <c r="A161" s="10"/>
      <c r="B161" s="10"/>
      <c r="C161" s="33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339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x14ac:dyDescent="0.25">
      <c r="A162" s="10"/>
      <c r="B162" s="10"/>
      <c r="C162" s="33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339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x14ac:dyDescent="0.25">
      <c r="A163" s="10"/>
      <c r="B163" s="10"/>
      <c r="C163" s="33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339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x14ac:dyDescent="0.25">
      <c r="A164" s="10"/>
      <c r="B164" s="10"/>
      <c r="C164" s="33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339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x14ac:dyDescent="0.25">
      <c r="A165" s="10"/>
      <c r="B165" s="10"/>
      <c r="C165" s="33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339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x14ac:dyDescent="0.25">
      <c r="A166" s="10"/>
      <c r="B166" s="10"/>
      <c r="C166" s="33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339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x14ac:dyDescent="0.25">
      <c r="A167" s="10"/>
      <c r="B167" s="10"/>
      <c r="C167" s="33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339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x14ac:dyDescent="0.25">
      <c r="A168" s="10"/>
      <c r="B168" s="10"/>
      <c r="C168" s="33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339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x14ac:dyDescent="0.25">
      <c r="A169" s="10"/>
      <c r="B169" s="10"/>
      <c r="C169" s="33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339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x14ac:dyDescent="0.25">
      <c r="A170" s="10"/>
      <c r="B170" s="10"/>
      <c r="C170" s="33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339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x14ac:dyDescent="0.25">
      <c r="A171" s="10"/>
      <c r="B171" s="10"/>
      <c r="C171" s="33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339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x14ac:dyDescent="0.25">
      <c r="A172" s="10"/>
      <c r="B172" s="10"/>
      <c r="C172" s="33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339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x14ac:dyDescent="0.25">
      <c r="A173" s="10"/>
      <c r="B173" s="10"/>
      <c r="C173" s="33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339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x14ac:dyDescent="0.25">
      <c r="A174" s="10"/>
      <c r="B174" s="10"/>
      <c r="C174" s="33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339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x14ac:dyDescent="0.25">
      <c r="A175" s="10"/>
      <c r="B175" s="10"/>
      <c r="C175" s="33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339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x14ac:dyDescent="0.25">
      <c r="A176" s="10"/>
      <c r="B176" s="10"/>
      <c r="C176" s="33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339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x14ac:dyDescent="0.25">
      <c r="A177" s="10"/>
      <c r="B177" s="10"/>
      <c r="C177" s="33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339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x14ac:dyDescent="0.25">
      <c r="A178" s="10"/>
      <c r="B178" s="10"/>
      <c r="C178" s="33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339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x14ac:dyDescent="0.25">
      <c r="A179" s="10"/>
      <c r="B179" s="10"/>
      <c r="C179" s="33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339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x14ac:dyDescent="0.25">
      <c r="A180" s="10"/>
      <c r="B180" s="10"/>
      <c r="C180" s="33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339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x14ac:dyDescent="0.25">
      <c r="A181" s="10"/>
      <c r="B181" s="10"/>
      <c r="C181" s="33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339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x14ac:dyDescent="0.25">
      <c r="A182" s="10"/>
      <c r="B182" s="10"/>
      <c r="C182" s="33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339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x14ac:dyDescent="0.25">
      <c r="A183" s="10"/>
      <c r="B183" s="10"/>
      <c r="C183" s="33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339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x14ac:dyDescent="0.25">
      <c r="A184" s="10"/>
      <c r="B184" s="10"/>
      <c r="C184" s="33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339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x14ac:dyDescent="0.25">
      <c r="A185" s="10"/>
      <c r="B185" s="10"/>
      <c r="C185" s="33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339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x14ac:dyDescent="0.25">
      <c r="A186" s="10"/>
      <c r="B186" s="10"/>
      <c r="C186" s="33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339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x14ac:dyDescent="0.25">
      <c r="A187" s="10"/>
      <c r="B187" s="10"/>
      <c r="C187" s="33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339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x14ac:dyDescent="0.25">
      <c r="A188" s="10"/>
      <c r="B188" s="10"/>
      <c r="C188" s="33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339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x14ac:dyDescent="0.25">
      <c r="A189" s="10"/>
      <c r="B189" s="10"/>
      <c r="C189" s="33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339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x14ac:dyDescent="0.25">
      <c r="A190" s="10"/>
      <c r="B190" s="10"/>
      <c r="C190" s="33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339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x14ac:dyDescent="0.25">
      <c r="A191" s="10"/>
      <c r="B191" s="10"/>
      <c r="C191" s="33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339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x14ac:dyDescent="0.25">
      <c r="A192" s="10"/>
      <c r="B192" s="10"/>
      <c r="C192" s="33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339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x14ac:dyDescent="0.25">
      <c r="A193" s="10"/>
      <c r="B193" s="10"/>
      <c r="C193" s="33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339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x14ac:dyDescent="0.25">
      <c r="A194" s="10"/>
      <c r="B194" s="10"/>
      <c r="C194" s="33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339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x14ac:dyDescent="0.25">
      <c r="A195" s="10"/>
      <c r="B195" s="10"/>
      <c r="C195" s="33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339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x14ac:dyDescent="0.25">
      <c r="A196" s="10"/>
      <c r="B196" s="10"/>
      <c r="C196" s="33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339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x14ac:dyDescent="0.25">
      <c r="A197" s="10"/>
      <c r="B197" s="10"/>
      <c r="C197" s="33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339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x14ac:dyDescent="0.25">
      <c r="A198" s="10"/>
      <c r="B198" s="10"/>
      <c r="C198" s="33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339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x14ac:dyDescent="0.25">
      <c r="A199" s="10"/>
      <c r="B199" s="10"/>
      <c r="C199" s="33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339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x14ac:dyDescent="0.25">
      <c r="A200" s="10"/>
      <c r="B200" s="10"/>
      <c r="C200" s="33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339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x14ac:dyDescent="0.25">
      <c r="A201" s="10"/>
      <c r="B201" s="10"/>
      <c r="C201" s="33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339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x14ac:dyDescent="0.25">
      <c r="A202" s="10"/>
      <c r="B202" s="10"/>
      <c r="C202" s="33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339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x14ac:dyDescent="0.25">
      <c r="A203" s="10"/>
      <c r="B203" s="10"/>
      <c r="C203" s="33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339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x14ac:dyDescent="0.25">
      <c r="A204" s="10"/>
      <c r="B204" s="10"/>
      <c r="C204" s="33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339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x14ac:dyDescent="0.25">
      <c r="A205" s="10"/>
      <c r="B205" s="10"/>
      <c r="C205" s="33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339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x14ac:dyDescent="0.25">
      <c r="A206" s="10"/>
      <c r="B206" s="10"/>
      <c r="C206" s="33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339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x14ac:dyDescent="0.25">
      <c r="A207" s="10"/>
      <c r="B207" s="10"/>
      <c r="C207" s="33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339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x14ac:dyDescent="0.25">
      <c r="A208" s="10"/>
      <c r="B208" s="10"/>
      <c r="C208" s="33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339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x14ac:dyDescent="0.25">
      <c r="A209" s="10"/>
      <c r="B209" s="10"/>
      <c r="C209" s="33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339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x14ac:dyDescent="0.25">
      <c r="A210" s="10"/>
      <c r="B210" s="10"/>
      <c r="C210" s="33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339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x14ac:dyDescent="0.25">
      <c r="A211" s="10"/>
      <c r="B211" s="10"/>
      <c r="C211" s="33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339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x14ac:dyDescent="0.25">
      <c r="A212" s="10"/>
      <c r="B212" s="10"/>
      <c r="C212" s="33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339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x14ac:dyDescent="0.25">
      <c r="A213" s="10"/>
      <c r="B213" s="10"/>
      <c r="C213" s="33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339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x14ac:dyDescent="0.25">
      <c r="A214" s="10"/>
      <c r="B214" s="10"/>
      <c r="C214" s="33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339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x14ac:dyDescent="0.25">
      <c r="A215" s="10"/>
      <c r="B215" s="10"/>
      <c r="C215" s="33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339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x14ac:dyDescent="0.25">
      <c r="A216" s="10"/>
      <c r="B216" s="10"/>
      <c r="C216" s="33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339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x14ac:dyDescent="0.25">
      <c r="A217" s="10"/>
      <c r="B217" s="10"/>
      <c r="C217" s="33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339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x14ac:dyDescent="0.25">
      <c r="A218" s="10"/>
      <c r="B218" s="10"/>
      <c r="C218" s="33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339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x14ac:dyDescent="0.25">
      <c r="A219" s="10"/>
      <c r="B219" s="10"/>
      <c r="C219" s="33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339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x14ac:dyDescent="0.25">
      <c r="A220" s="10"/>
      <c r="B220" s="10"/>
      <c r="C220" s="33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339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x14ac:dyDescent="0.25">
      <c r="A221" s="10"/>
      <c r="B221" s="10"/>
      <c r="C221" s="33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339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x14ac:dyDescent="0.25">
      <c r="A222" s="10"/>
      <c r="B222" s="10"/>
      <c r="C222" s="33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339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x14ac:dyDescent="0.25">
      <c r="A223" s="10"/>
      <c r="B223" s="10"/>
      <c r="C223" s="33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339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x14ac:dyDescent="0.25">
      <c r="A224" s="10"/>
      <c r="B224" s="10"/>
      <c r="C224" s="33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339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x14ac:dyDescent="0.25">
      <c r="A225" s="10"/>
      <c r="B225" s="10"/>
      <c r="C225" s="33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339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x14ac:dyDescent="0.25">
      <c r="A226" s="10"/>
      <c r="B226" s="10"/>
      <c r="C226" s="33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339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x14ac:dyDescent="0.25">
      <c r="A227" s="10"/>
      <c r="B227" s="10"/>
      <c r="C227" s="33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339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x14ac:dyDescent="0.25">
      <c r="A228" s="10"/>
      <c r="B228" s="10"/>
      <c r="C228" s="339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339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x14ac:dyDescent="0.25">
      <c r="A229" s="10"/>
      <c r="B229" s="10"/>
      <c r="C229" s="339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339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x14ac:dyDescent="0.25">
      <c r="A230" s="10"/>
      <c r="B230" s="10"/>
      <c r="C230" s="339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339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x14ac:dyDescent="0.25">
      <c r="A231" s="10"/>
      <c r="B231" s="10"/>
      <c r="C231" s="339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339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x14ac:dyDescent="0.25">
      <c r="A232" s="10"/>
      <c r="B232" s="10"/>
      <c r="C232" s="339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339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x14ac:dyDescent="0.25">
      <c r="A233" s="10"/>
      <c r="B233" s="10"/>
      <c r="C233" s="339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339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x14ac:dyDescent="0.25">
      <c r="A234" s="10"/>
      <c r="B234" s="10"/>
      <c r="C234" s="339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339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x14ac:dyDescent="0.25">
      <c r="A235" s="10"/>
      <c r="B235" s="10"/>
      <c r="C235" s="339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339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x14ac:dyDescent="0.25">
      <c r="A236" s="10"/>
      <c r="B236" s="10"/>
      <c r="C236" s="339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339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x14ac:dyDescent="0.25">
      <c r="A237" s="10"/>
      <c r="B237" s="10"/>
      <c r="C237" s="339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339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x14ac:dyDescent="0.25">
      <c r="A238" s="10"/>
      <c r="B238" s="10"/>
      <c r="C238" s="339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339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x14ac:dyDescent="0.25">
      <c r="A239" s="10"/>
      <c r="B239" s="10"/>
      <c r="C239" s="339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339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x14ac:dyDescent="0.25">
      <c r="A240" s="10"/>
      <c r="B240" s="10"/>
      <c r="C240" s="339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339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x14ac:dyDescent="0.25">
      <c r="A241" s="10"/>
      <c r="B241" s="10"/>
      <c r="C241" s="339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339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x14ac:dyDescent="0.25">
      <c r="A242" s="10"/>
      <c r="B242" s="10"/>
      <c r="C242" s="339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339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x14ac:dyDescent="0.25">
      <c r="A243" s="10"/>
      <c r="B243" s="10"/>
      <c r="C243" s="339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339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x14ac:dyDescent="0.25">
      <c r="A244" s="10"/>
      <c r="B244" s="10"/>
      <c r="C244" s="33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339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x14ac:dyDescent="0.25">
      <c r="A245" s="10"/>
      <c r="B245" s="10"/>
      <c r="C245" s="339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339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x14ac:dyDescent="0.25">
      <c r="A246" s="10"/>
      <c r="B246" s="10"/>
      <c r="C246" s="339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339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x14ac:dyDescent="0.25">
      <c r="A247" s="10"/>
      <c r="B247" s="10"/>
      <c r="C247" s="339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339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x14ac:dyDescent="0.25">
      <c r="A248" s="10"/>
      <c r="B248" s="10"/>
      <c r="C248" s="339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339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x14ac:dyDescent="0.25">
      <c r="A249" s="10"/>
      <c r="B249" s="10"/>
      <c r="C249" s="339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339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x14ac:dyDescent="0.25">
      <c r="A250" s="10"/>
      <c r="B250" s="10"/>
      <c r="C250" s="339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339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x14ac:dyDescent="0.25">
      <c r="A251" s="10"/>
      <c r="B251" s="10"/>
      <c r="C251" s="339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339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x14ac:dyDescent="0.25">
      <c r="A252" s="10"/>
      <c r="B252" s="10"/>
      <c r="C252" s="339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339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x14ac:dyDescent="0.25">
      <c r="A253" s="10"/>
      <c r="B253" s="10"/>
      <c r="C253" s="339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339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x14ac:dyDescent="0.25">
      <c r="A254" s="10"/>
      <c r="B254" s="10"/>
      <c r="C254" s="339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339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x14ac:dyDescent="0.25">
      <c r="A255" s="10"/>
      <c r="B255" s="10"/>
      <c r="C255" s="339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339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x14ac:dyDescent="0.25">
      <c r="A256" s="10"/>
      <c r="B256" s="10"/>
      <c r="C256" s="339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339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x14ac:dyDescent="0.25">
      <c r="A257" s="10"/>
      <c r="B257" s="10"/>
      <c r="C257" s="339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339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x14ac:dyDescent="0.25">
      <c r="A258" s="10"/>
      <c r="B258" s="10"/>
      <c r="C258" s="339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339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x14ac:dyDescent="0.25">
      <c r="A259" s="10"/>
      <c r="B259" s="10"/>
      <c r="C259" s="339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339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x14ac:dyDescent="0.25">
      <c r="A260" s="10"/>
      <c r="B260" s="10"/>
      <c r="C260" s="339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339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x14ac:dyDescent="0.25">
      <c r="A261" s="10"/>
      <c r="B261" s="10"/>
      <c r="C261" s="339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339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x14ac:dyDescent="0.25">
      <c r="A262" s="10"/>
      <c r="B262" s="10"/>
      <c r="C262" s="339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339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x14ac:dyDescent="0.25">
      <c r="A263" s="10"/>
      <c r="B263" s="10"/>
      <c r="C263" s="339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339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x14ac:dyDescent="0.25">
      <c r="A264" s="10"/>
      <c r="B264" s="10"/>
      <c r="C264" s="339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339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x14ac:dyDescent="0.25">
      <c r="A265" s="10"/>
      <c r="B265" s="10"/>
      <c r="C265" s="339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339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x14ac:dyDescent="0.25">
      <c r="A266" s="10"/>
      <c r="B266" s="10"/>
      <c r="C266" s="339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339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x14ac:dyDescent="0.25">
      <c r="A267" s="10"/>
      <c r="B267" s="10"/>
      <c r="C267" s="33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339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x14ac:dyDescent="0.25">
      <c r="A268" s="10"/>
      <c r="B268" s="10"/>
      <c r="C268" s="339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339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x14ac:dyDescent="0.25">
      <c r="A269" s="10"/>
      <c r="B269" s="10"/>
      <c r="C269" s="339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339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x14ac:dyDescent="0.25">
      <c r="A270" s="10"/>
      <c r="B270" s="10"/>
      <c r="C270" s="339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339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x14ac:dyDescent="0.25">
      <c r="A271" s="10"/>
      <c r="B271" s="10"/>
      <c r="C271" s="339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339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x14ac:dyDescent="0.25">
      <c r="A272" s="10"/>
      <c r="B272" s="10"/>
      <c r="C272" s="339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339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x14ac:dyDescent="0.25">
      <c r="A273" s="10"/>
      <c r="B273" s="10"/>
      <c r="C273" s="339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339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x14ac:dyDescent="0.25">
      <c r="A274" s="10"/>
      <c r="B274" s="10"/>
      <c r="C274" s="339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339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x14ac:dyDescent="0.25">
      <c r="A275" s="10"/>
      <c r="B275" s="10"/>
      <c r="C275" s="339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339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x14ac:dyDescent="0.25">
      <c r="A276" s="10"/>
      <c r="B276" s="10"/>
      <c r="C276" s="33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339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x14ac:dyDescent="0.25">
      <c r="A277" s="10"/>
      <c r="B277" s="10"/>
      <c r="C277" s="339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339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x14ac:dyDescent="0.25">
      <c r="A278" s="10"/>
      <c r="B278" s="10"/>
      <c r="C278" s="339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339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x14ac:dyDescent="0.25">
      <c r="A279" s="10"/>
      <c r="B279" s="10"/>
      <c r="C279" s="339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339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x14ac:dyDescent="0.25">
      <c r="A280" s="10"/>
      <c r="B280" s="10"/>
      <c r="C280" s="339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339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x14ac:dyDescent="0.25">
      <c r="A281" s="10"/>
      <c r="B281" s="10"/>
      <c r="C281" s="339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339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x14ac:dyDescent="0.25">
      <c r="A282" s="10"/>
      <c r="B282" s="10"/>
      <c r="C282" s="339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339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x14ac:dyDescent="0.25">
      <c r="A283" s="10"/>
      <c r="B283" s="10"/>
      <c r="C283" s="339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339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x14ac:dyDescent="0.25">
      <c r="A284" s="10"/>
      <c r="B284" s="10"/>
      <c r="C284" s="339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339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x14ac:dyDescent="0.25">
      <c r="A285" s="10"/>
      <c r="B285" s="10"/>
      <c r="C285" s="339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339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x14ac:dyDescent="0.25">
      <c r="A286" s="10"/>
      <c r="B286" s="10"/>
      <c r="C286" s="339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339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x14ac:dyDescent="0.25">
      <c r="A287" s="10"/>
      <c r="B287" s="10"/>
      <c r="C287" s="339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339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x14ac:dyDescent="0.25">
      <c r="A288" s="10"/>
      <c r="B288" s="10"/>
      <c r="C288" s="339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339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x14ac:dyDescent="0.25">
      <c r="A289" s="10"/>
      <c r="B289" s="10"/>
      <c r="C289" s="339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339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x14ac:dyDescent="0.25">
      <c r="A290" s="10"/>
      <c r="B290" s="10"/>
      <c r="C290" s="339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339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x14ac:dyDescent="0.25">
      <c r="A291" s="10"/>
      <c r="B291" s="10"/>
      <c r="C291" s="339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339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x14ac:dyDescent="0.25">
      <c r="A292" s="10"/>
      <c r="B292" s="10"/>
      <c r="C292" s="339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339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x14ac:dyDescent="0.25">
      <c r="A293" s="10"/>
      <c r="B293" s="10"/>
      <c r="C293" s="339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339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x14ac:dyDescent="0.25">
      <c r="A294" s="10"/>
      <c r="B294" s="10"/>
      <c r="C294" s="339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339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x14ac:dyDescent="0.25">
      <c r="A295" s="10"/>
      <c r="B295" s="10"/>
      <c r="C295" s="339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339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x14ac:dyDescent="0.25">
      <c r="A296" s="10"/>
      <c r="B296" s="10"/>
      <c r="C296" s="339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339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x14ac:dyDescent="0.25">
      <c r="A297" s="10"/>
      <c r="B297" s="10"/>
      <c r="C297" s="339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339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x14ac:dyDescent="0.25">
      <c r="A298" s="10"/>
      <c r="B298" s="10"/>
      <c r="C298" s="339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339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x14ac:dyDescent="0.25">
      <c r="A299" s="10"/>
      <c r="B299" s="10"/>
      <c r="C299" s="339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339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x14ac:dyDescent="0.25">
      <c r="A300" s="10"/>
      <c r="B300" s="10"/>
      <c r="C300" s="339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339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x14ac:dyDescent="0.25">
      <c r="A301" s="10"/>
      <c r="B301" s="10"/>
      <c r="C301" s="339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339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x14ac:dyDescent="0.25">
      <c r="A302" s="10"/>
      <c r="B302" s="10"/>
      <c r="C302" s="339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339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x14ac:dyDescent="0.25">
      <c r="A303" s="10"/>
      <c r="B303" s="10"/>
      <c r="C303" s="339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339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x14ac:dyDescent="0.25">
      <c r="A304" s="10"/>
      <c r="B304" s="10"/>
      <c r="C304" s="339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339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x14ac:dyDescent="0.25">
      <c r="A305" s="10"/>
      <c r="B305" s="10"/>
      <c r="C305" s="339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339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x14ac:dyDescent="0.25">
      <c r="A306" s="10"/>
      <c r="B306" s="10"/>
      <c r="C306" s="339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339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x14ac:dyDescent="0.25">
      <c r="A307" s="10"/>
      <c r="B307" s="10"/>
      <c r="C307" s="339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339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x14ac:dyDescent="0.25">
      <c r="A308" s="10"/>
      <c r="B308" s="10"/>
      <c r="C308" s="339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339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x14ac:dyDescent="0.25">
      <c r="A309" s="10"/>
      <c r="B309" s="10"/>
      <c r="C309" s="339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339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x14ac:dyDescent="0.25">
      <c r="A310" s="10"/>
      <c r="B310" s="10"/>
      <c r="C310" s="339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339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x14ac:dyDescent="0.25">
      <c r="A311" s="10"/>
      <c r="B311" s="10"/>
      <c r="C311" s="339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339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x14ac:dyDescent="0.25">
      <c r="A312" s="10"/>
      <c r="B312" s="10"/>
      <c r="C312" s="339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339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x14ac:dyDescent="0.25">
      <c r="A313" s="10"/>
      <c r="B313" s="10"/>
      <c r="C313" s="339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339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x14ac:dyDescent="0.25">
      <c r="A314" s="10"/>
      <c r="B314" s="10"/>
      <c r="C314" s="339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339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x14ac:dyDescent="0.25">
      <c r="A315" s="10"/>
      <c r="B315" s="10"/>
      <c r="C315" s="339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339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x14ac:dyDescent="0.25">
      <c r="A316" s="10"/>
      <c r="B316" s="10"/>
      <c r="C316" s="339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339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x14ac:dyDescent="0.25">
      <c r="A317" s="10"/>
      <c r="B317" s="10"/>
      <c r="C317" s="339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339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x14ac:dyDescent="0.25">
      <c r="A318" s="10"/>
      <c r="B318" s="10"/>
      <c r="C318" s="339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339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x14ac:dyDescent="0.25">
      <c r="A319" s="10"/>
      <c r="B319" s="10"/>
      <c r="C319" s="339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339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x14ac:dyDescent="0.25">
      <c r="A320" s="10"/>
      <c r="B320" s="10"/>
      <c r="C320" s="339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339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x14ac:dyDescent="0.25">
      <c r="A321" s="10"/>
      <c r="B321" s="10"/>
      <c r="C321" s="339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339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x14ac:dyDescent="0.25">
      <c r="A322" s="10"/>
      <c r="B322" s="10"/>
      <c r="C322" s="339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339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x14ac:dyDescent="0.25">
      <c r="A323" s="10"/>
      <c r="B323" s="10"/>
      <c r="C323" s="339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339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x14ac:dyDescent="0.25">
      <c r="A324" s="10"/>
      <c r="B324" s="10"/>
      <c r="C324" s="339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339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x14ac:dyDescent="0.25">
      <c r="A325" s="10"/>
      <c r="B325" s="10"/>
      <c r="C325" s="339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339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x14ac:dyDescent="0.25">
      <c r="A326" s="10"/>
      <c r="B326" s="10"/>
      <c r="C326" s="33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339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x14ac:dyDescent="0.25">
      <c r="A327" s="10"/>
      <c r="B327" s="10"/>
      <c r="C327" s="339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339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x14ac:dyDescent="0.25">
      <c r="A328" s="10"/>
      <c r="B328" s="10"/>
      <c r="C328" s="339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339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x14ac:dyDescent="0.25">
      <c r="A329" s="10"/>
      <c r="B329" s="10"/>
      <c r="C329" s="339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339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x14ac:dyDescent="0.25">
      <c r="A330" s="10"/>
      <c r="B330" s="10"/>
      <c r="C330" s="339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339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x14ac:dyDescent="0.25">
      <c r="A331" s="10"/>
      <c r="B331" s="10"/>
      <c r="C331" s="339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339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x14ac:dyDescent="0.25">
      <c r="A332" s="10"/>
      <c r="B332" s="10"/>
      <c r="C332" s="339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339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x14ac:dyDescent="0.25">
      <c r="A333" s="10"/>
      <c r="B333" s="10"/>
      <c r="C333" s="339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339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x14ac:dyDescent="0.25">
      <c r="A334" s="10"/>
      <c r="B334" s="10"/>
      <c r="C334" s="339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339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x14ac:dyDescent="0.25">
      <c r="A335" s="10"/>
      <c r="B335" s="10"/>
      <c r="C335" s="339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339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x14ac:dyDescent="0.25">
      <c r="A336" s="10"/>
      <c r="B336" s="10"/>
      <c r="C336" s="339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339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x14ac:dyDescent="0.25">
      <c r="A337" s="10"/>
      <c r="B337" s="10"/>
      <c r="C337" s="339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339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x14ac:dyDescent="0.25">
      <c r="A338" s="10"/>
      <c r="B338" s="10"/>
      <c r="C338" s="339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339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x14ac:dyDescent="0.25">
      <c r="A339" s="10"/>
      <c r="B339" s="10"/>
      <c r="C339" s="339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339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x14ac:dyDescent="0.25">
      <c r="A340" s="10"/>
      <c r="B340" s="10"/>
      <c r="C340" s="339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339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x14ac:dyDescent="0.25">
      <c r="A341" s="10"/>
      <c r="B341" s="10"/>
      <c r="C341" s="339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339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x14ac:dyDescent="0.25">
      <c r="A342" s="10"/>
      <c r="B342" s="10"/>
      <c r="C342" s="339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339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x14ac:dyDescent="0.25">
      <c r="A343" s="10"/>
      <c r="B343" s="10"/>
      <c r="C343" s="339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339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x14ac:dyDescent="0.25">
      <c r="A344" s="10"/>
      <c r="B344" s="10"/>
      <c r="C344" s="339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339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x14ac:dyDescent="0.25">
      <c r="A345" s="10"/>
      <c r="B345" s="10"/>
      <c r="C345" s="339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339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x14ac:dyDescent="0.25">
      <c r="A346" s="10"/>
      <c r="B346" s="10"/>
      <c r="C346" s="339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339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x14ac:dyDescent="0.25">
      <c r="A347" s="10"/>
      <c r="B347" s="10"/>
      <c r="C347" s="339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339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x14ac:dyDescent="0.25">
      <c r="A348" s="10"/>
      <c r="B348" s="10"/>
      <c r="C348" s="339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339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x14ac:dyDescent="0.25">
      <c r="A349" s="10"/>
      <c r="B349" s="10"/>
      <c r="C349" s="339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339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x14ac:dyDescent="0.25">
      <c r="A350" s="10"/>
      <c r="B350" s="10"/>
      <c r="C350" s="339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339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x14ac:dyDescent="0.25">
      <c r="A351" s="10"/>
      <c r="B351" s="10"/>
      <c r="C351" s="339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339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x14ac:dyDescent="0.25">
      <c r="A352" s="10"/>
      <c r="B352" s="10"/>
      <c r="C352" s="339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339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x14ac:dyDescent="0.25">
      <c r="A353" s="10"/>
      <c r="B353" s="10"/>
      <c r="C353" s="339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339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x14ac:dyDescent="0.25">
      <c r="A354" s="10"/>
      <c r="B354" s="10"/>
      <c r="C354" s="339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339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x14ac:dyDescent="0.25">
      <c r="A355" s="10"/>
      <c r="B355" s="10"/>
      <c r="C355" s="339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339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x14ac:dyDescent="0.25">
      <c r="A356" s="10"/>
      <c r="B356" s="10"/>
      <c r="C356" s="339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339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x14ac:dyDescent="0.25">
      <c r="A357" s="10"/>
      <c r="B357" s="10"/>
      <c r="C357" s="339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339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x14ac:dyDescent="0.25">
      <c r="A358" s="10"/>
      <c r="B358" s="10"/>
      <c r="C358" s="339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339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x14ac:dyDescent="0.25">
      <c r="A359" s="10"/>
      <c r="B359" s="10"/>
      <c r="C359" s="339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339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x14ac:dyDescent="0.25">
      <c r="A360" s="10"/>
      <c r="B360" s="10"/>
      <c r="C360" s="339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339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x14ac:dyDescent="0.25">
      <c r="A361" s="10"/>
      <c r="B361" s="10"/>
      <c r="C361" s="339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339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x14ac:dyDescent="0.25">
      <c r="A362" s="10"/>
      <c r="B362" s="10"/>
      <c r="C362" s="339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339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x14ac:dyDescent="0.25">
      <c r="A363" s="10"/>
      <c r="B363" s="10"/>
      <c r="C363" s="339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339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x14ac:dyDescent="0.25">
      <c r="A364" s="10"/>
      <c r="B364" s="10"/>
      <c r="C364" s="339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339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x14ac:dyDescent="0.25">
      <c r="A365" s="10"/>
      <c r="B365" s="10"/>
      <c r="C365" s="339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339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x14ac:dyDescent="0.25">
      <c r="A366" s="10"/>
      <c r="B366" s="10"/>
      <c r="C366" s="339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339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x14ac:dyDescent="0.25">
      <c r="A367" s="10"/>
      <c r="B367" s="10"/>
      <c r="C367" s="339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339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x14ac:dyDescent="0.25">
      <c r="A368" s="10"/>
      <c r="B368" s="10"/>
      <c r="C368" s="339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339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x14ac:dyDescent="0.25">
      <c r="A369" s="10"/>
      <c r="B369" s="10"/>
      <c r="C369" s="339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339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x14ac:dyDescent="0.25">
      <c r="A370" s="10"/>
      <c r="B370" s="10"/>
      <c r="C370" s="339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339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x14ac:dyDescent="0.25">
      <c r="A371" s="10"/>
      <c r="B371" s="10"/>
      <c r="C371" s="339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339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x14ac:dyDescent="0.25">
      <c r="A372" s="10"/>
      <c r="B372" s="10"/>
      <c r="C372" s="339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339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x14ac:dyDescent="0.25">
      <c r="A373" s="10"/>
      <c r="B373" s="10"/>
      <c r="C373" s="339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339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x14ac:dyDescent="0.25">
      <c r="A374" s="10"/>
      <c r="B374" s="10"/>
      <c r="C374" s="339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339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x14ac:dyDescent="0.25">
      <c r="A375" s="10"/>
      <c r="B375" s="10"/>
      <c r="C375" s="339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339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x14ac:dyDescent="0.25">
      <c r="A376" s="10"/>
      <c r="B376" s="10"/>
      <c r="C376" s="339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339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x14ac:dyDescent="0.25">
      <c r="A377" s="10"/>
      <c r="B377" s="10"/>
      <c r="C377" s="339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339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x14ac:dyDescent="0.25">
      <c r="A378" s="10"/>
      <c r="B378" s="10"/>
      <c r="C378" s="339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339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x14ac:dyDescent="0.25">
      <c r="A379" s="10"/>
      <c r="B379" s="10"/>
      <c r="C379" s="339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339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x14ac:dyDescent="0.25">
      <c r="A380" s="10"/>
      <c r="B380" s="10"/>
      <c r="C380" s="339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339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x14ac:dyDescent="0.25">
      <c r="A381" s="10"/>
      <c r="B381" s="10"/>
      <c r="C381" s="339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339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x14ac:dyDescent="0.25">
      <c r="A382" s="10"/>
      <c r="B382" s="10"/>
      <c r="C382" s="339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339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x14ac:dyDescent="0.25">
      <c r="A383" s="10"/>
      <c r="B383" s="10"/>
      <c r="C383" s="339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339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x14ac:dyDescent="0.25">
      <c r="A384" s="10"/>
      <c r="B384" s="10"/>
      <c r="C384" s="339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339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x14ac:dyDescent="0.25">
      <c r="A385" s="10"/>
      <c r="B385" s="10"/>
      <c r="C385" s="339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339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x14ac:dyDescent="0.25">
      <c r="A386" s="10"/>
      <c r="B386" s="10"/>
      <c r="C386" s="339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339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x14ac:dyDescent="0.25">
      <c r="A387" s="10"/>
      <c r="B387" s="10"/>
      <c r="C387" s="339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339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x14ac:dyDescent="0.25">
      <c r="A388" s="10"/>
      <c r="B388" s="10"/>
      <c r="C388" s="339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339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x14ac:dyDescent="0.25">
      <c r="A389" s="10"/>
      <c r="B389" s="10"/>
      <c r="C389" s="339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339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x14ac:dyDescent="0.25">
      <c r="A390" s="10"/>
      <c r="B390" s="10"/>
      <c r="C390" s="339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339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x14ac:dyDescent="0.25">
      <c r="A391" s="10"/>
      <c r="B391" s="10"/>
      <c r="C391" s="339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339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x14ac:dyDescent="0.25">
      <c r="A392" s="10"/>
      <c r="B392" s="10"/>
      <c r="C392" s="339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339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x14ac:dyDescent="0.25">
      <c r="A393" s="10"/>
      <c r="B393" s="10"/>
      <c r="C393" s="339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339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x14ac:dyDescent="0.25">
      <c r="A394" s="10"/>
      <c r="B394" s="10"/>
      <c r="C394" s="339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339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x14ac:dyDescent="0.25">
      <c r="A395" s="10"/>
      <c r="B395" s="10"/>
      <c r="C395" s="339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339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x14ac:dyDescent="0.25">
      <c r="A396" s="10"/>
      <c r="B396" s="10"/>
      <c r="C396" s="339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339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x14ac:dyDescent="0.25">
      <c r="A397" s="10"/>
      <c r="B397" s="10"/>
      <c r="C397" s="339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339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x14ac:dyDescent="0.25">
      <c r="A398" s="10"/>
      <c r="B398" s="10"/>
      <c r="C398" s="339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339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x14ac:dyDescent="0.25">
      <c r="A399" s="10"/>
      <c r="B399" s="10"/>
      <c r="C399" s="339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339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x14ac:dyDescent="0.25">
      <c r="A400" s="10"/>
      <c r="B400" s="10"/>
      <c r="C400" s="339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339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x14ac:dyDescent="0.25">
      <c r="A401" s="10"/>
      <c r="B401" s="10"/>
      <c r="C401" s="339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339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x14ac:dyDescent="0.25">
      <c r="A402" s="10"/>
      <c r="B402" s="10"/>
      <c r="C402" s="339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339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x14ac:dyDescent="0.25">
      <c r="A403" s="10"/>
      <c r="B403" s="10"/>
      <c r="C403" s="339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339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x14ac:dyDescent="0.25">
      <c r="A404" s="10"/>
      <c r="B404" s="10"/>
      <c r="C404" s="339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339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x14ac:dyDescent="0.25">
      <c r="A405" s="10"/>
      <c r="B405" s="10"/>
      <c r="C405" s="339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339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</sheetData>
  <sheetProtection sheet="1" selectLockedCells="1" formatCells="0" formatRows="0" algorithmName="SHA-512" hashValue="iImQyt0fR2v9aS6pgyL5bmLo5VV+Kb+E0NNYKWJGHtlaziv6ZQvGL6rzh4Y5x7ZhglledCBBODjnQn41YG1esg==" saltValue="AziDieLU4p7Sgs1DO0ARaA==" spinCount="100000"/>
  <mergeCells count="197">
    <mergeCell ref="B2:C2"/>
    <mergeCell ref="D2:M2"/>
    <mergeCell ref="B3:F3"/>
    <mergeCell ref="G3:H3"/>
    <mergeCell ref="I3:J3"/>
    <mergeCell ref="K3:M3"/>
    <mergeCell ref="B4:D4"/>
    <mergeCell ref="E4:K4"/>
    <mergeCell ref="B5:F5"/>
    <mergeCell ref="G5:H5"/>
    <mergeCell ref="I5:M5"/>
    <mergeCell ref="B6:K6"/>
    <mergeCell ref="L6:M6"/>
    <mergeCell ref="D8:F8"/>
    <mergeCell ref="G8:I8"/>
    <mergeCell ref="J8:M8"/>
    <mergeCell ref="D9:F9"/>
    <mergeCell ref="G9:I9"/>
    <mergeCell ref="J9:M9"/>
    <mergeCell ref="D10:F10"/>
    <mergeCell ref="G10:I10"/>
    <mergeCell ref="J10:M10"/>
    <mergeCell ref="D11:F11"/>
    <mergeCell ref="G11:I11"/>
    <mergeCell ref="J11:M11"/>
    <mergeCell ref="D12:F12"/>
    <mergeCell ref="G12:I12"/>
    <mergeCell ref="J12:M12"/>
    <mergeCell ref="D13:F13"/>
    <mergeCell ref="G13:I13"/>
    <mergeCell ref="J13:M13"/>
    <mergeCell ref="D14:F14"/>
    <mergeCell ref="G14:I14"/>
    <mergeCell ref="J14:M14"/>
    <mergeCell ref="D15:F15"/>
    <mergeCell ref="G15:I15"/>
    <mergeCell ref="J15:M15"/>
    <mergeCell ref="D16:F16"/>
    <mergeCell ref="G16:I16"/>
    <mergeCell ref="J16:M16"/>
    <mergeCell ref="D17:F17"/>
    <mergeCell ref="G17:I17"/>
    <mergeCell ref="J17:M17"/>
    <mergeCell ref="D18:F18"/>
    <mergeCell ref="G18:I18"/>
    <mergeCell ref="J18:M18"/>
    <mergeCell ref="D19:F19"/>
    <mergeCell ref="G19:I19"/>
    <mergeCell ref="J19:M19"/>
    <mergeCell ref="D20:F20"/>
    <mergeCell ref="G20:I20"/>
    <mergeCell ref="J20:M20"/>
    <mergeCell ref="D21:F21"/>
    <mergeCell ref="G21:I21"/>
    <mergeCell ref="J21:M21"/>
    <mergeCell ref="D22:F22"/>
    <mergeCell ref="G22:I22"/>
    <mergeCell ref="J22:M22"/>
    <mergeCell ref="D23:F23"/>
    <mergeCell ref="G23:I23"/>
    <mergeCell ref="J23:M23"/>
    <mergeCell ref="D24:F24"/>
    <mergeCell ref="G24:I24"/>
    <mergeCell ref="J24:M24"/>
    <mergeCell ref="D25:F25"/>
    <mergeCell ref="G25:I25"/>
    <mergeCell ref="J25:M25"/>
    <mergeCell ref="D26:F26"/>
    <mergeCell ref="G26:I26"/>
    <mergeCell ref="J26:M26"/>
    <mergeCell ref="D27:F27"/>
    <mergeCell ref="G27:I27"/>
    <mergeCell ref="J27:M27"/>
    <mergeCell ref="D28:F28"/>
    <mergeCell ref="G28:I28"/>
    <mergeCell ref="J28:M28"/>
    <mergeCell ref="D29:F29"/>
    <mergeCell ref="G29:I29"/>
    <mergeCell ref="J29:M29"/>
    <mergeCell ref="D30:F30"/>
    <mergeCell ref="G30:I30"/>
    <mergeCell ref="J30:M30"/>
    <mergeCell ref="D31:F31"/>
    <mergeCell ref="G31:I31"/>
    <mergeCell ref="J31:M31"/>
    <mergeCell ref="D32:F32"/>
    <mergeCell ref="G32:I32"/>
    <mergeCell ref="J32:M32"/>
    <mergeCell ref="D33:F33"/>
    <mergeCell ref="G33:I33"/>
    <mergeCell ref="J33:M33"/>
    <mergeCell ref="D34:F34"/>
    <mergeCell ref="G34:I34"/>
    <mergeCell ref="J34:M34"/>
    <mergeCell ref="D35:F35"/>
    <mergeCell ref="G35:I35"/>
    <mergeCell ref="J35:M35"/>
    <mergeCell ref="D36:F36"/>
    <mergeCell ref="G36:I36"/>
    <mergeCell ref="J36:M36"/>
    <mergeCell ref="D37:F37"/>
    <mergeCell ref="G37:I37"/>
    <mergeCell ref="J37:M37"/>
    <mergeCell ref="D38:F38"/>
    <mergeCell ref="G38:I38"/>
    <mergeCell ref="J38:M38"/>
    <mergeCell ref="D39:F39"/>
    <mergeCell ref="G39:I39"/>
    <mergeCell ref="J39:M39"/>
    <mergeCell ref="D40:F40"/>
    <mergeCell ref="G40:I40"/>
    <mergeCell ref="J40:M40"/>
    <mergeCell ref="D41:F41"/>
    <mergeCell ref="G41:I41"/>
    <mergeCell ref="J41:M41"/>
    <mergeCell ref="D42:F42"/>
    <mergeCell ref="G42:I42"/>
    <mergeCell ref="J42:M42"/>
    <mergeCell ref="D43:F43"/>
    <mergeCell ref="G43:I43"/>
    <mergeCell ref="J43:M43"/>
    <mergeCell ref="D44:F44"/>
    <mergeCell ref="G44:I44"/>
    <mergeCell ref="J44:M44"/>
    <mergeCell ref="D45:F45"/>
    <mergeCell ref="G45:I45"/>
    <mergeCell ref="J45:M45"/>
    <mergeCell ref="D46:F46"/>
    <mergeCell ref="G46:I46"/>
    <mergeCell ref="J46:M46"/>
    <mergeCell ref="D47:F47"/>
    <mergeCell ref="G47:I47"/>
    <mergeCell ref="J47:M47"/>
    <mergeCell ref="D48:F48"/>
    <mergeCell ref="G48:I48"/>
    <mergeCell ref="J48:M48"/>
    <mergeCell ref="D49:F49"/>
    <mergeCell ref="G49:I49"/>
    <mergeCell ref="J49:M49"/>
    <mergeCell ref="D50:F50"/>
    <mergeCell ref="G50:I50"/>
    <mergeCell ref="J50:M50"/>
    <mergeCell ref="D51:F51"/>
    <mergeCell ref="G51:I51"/>
    <mergeCell ref="J51:M51"/>
    <mergeCell ref="D52:F52"/>
    <mergeCell ref="G52:I52"/>
    <mergeCell ref="J52:M52"/>
    <mergeCell ref="D53:F53"/>
    <mergeCell ref="G53:I53"/>
    <mergeCell ref="J53:M53"/>
    <mergeCell ref="D54:F54"/>
    <mergeCell ref="G54:I54"/>
    <mergeCell ref="J54:M54"/>
    <mergeCell ref="D55:F55"/>
    <mergeCell ref="G55:I55"/>
    <mergeCell ref="J55:M55"/>
    <mergeCell ref="D56:F56"/>
    <mergeCell ref="G56:I56"/>
    <mergeCell ref="J56:M56"/>
    <mergeCell ref="D57:F57"/>
    <mergeCell ref="G57:I57"/>
    <mergeCell ref="J57:M57"/>
    <mergeCell ref="D58:F58"/>
    <mergeCell ref="G58:I58"/>
    <mergeCell ref="J58:M58"/>
    <mergeCell ref="D59:F59"/>
    <mergeCell ref="G59:I59"/>
    <mergeCell ref="J59:M59"/>
    <mergeCell ref="D60:F60"/>
    <mergeCell ref="G60:I60"/>
    <mergeCell ref="J60:M60"/>
    <mergeCell ref="D61:F61"/>
    <mergeCell ref="G61:I61"/>
    <mergeCell ref="J61:M61"/>
    <mergeCell ref="D62:F62"/>
    <mergeCell ref="G62:I62"/>
    <mergeCell ref="J62:M62"/>
    <mergeCell ref="D63:F63"/>
    <mergeCell ref="G63:I63"/>
    <mergeCell ref="J63:M63"/>
    <mergeCell ref="D64:F64"/>
    <mergeCell ref="G64:I64"/>
    <mergeCell ref="J64:M64"/>
    <mergeCell ref="D65:F65"/>
    <mergeCell ref="G65:I65"/>
    <mergeCell ref="J65:M65"/>
    <mergeCell ref="D66:F66"/>
    <mergeCell ref="G66:I66"/>
    <mergeCell ref="J66:M66"/>
    <mergeCell ref="D67:F67"/>
    <mergeCell ref="G67:I67"/>
    <mergeCell ref="J67:M67"/>
    <mergeCell ref="D68:F68"/>
    <mergeCell ref="G68:I68"/>
    <mergeCell ref="J68:M68"/>
    <mergeCell ref="C69:F69"/>
  </mergeCells>
  <conditionalFormatting sqref="B6:L6">
    <cfRule type="notContainsBlanks" dxfId="63" priority="10" operator="notContainsBlanks">
      <formula>LEN(TRIM(B6))&gt;0</formula>
    </cfRule>
  </conditionalFormatting>
  <conditionalFormatting sqref="C69">
    <cfRule type="containsText" dxfId="64" priority="3">
      <formula>NOT(ISERROR(SEARCH("Definir ordem de prioridade",C69)))</formula>
    </cfRule>
    <cfRule type="cellIs" dxfId="65" priority="4" operator="equal">
      <formula>0</formula>
    </cfRule>
    <cfRule type="containsBlanks" dxfId="66" priority="5" operator="containsBlanks">
      <formula>LEN(TRIM(C69))=0</formula>
    </cfRule>
    <cfRule type="expression" dxfId="67" priority="6">
      <formula>AND($G$5="Percentual do Excedente", $C$69&lt;&gt;1)</formula>
    </cfRule>
    <cfRule type="cellIs" dxfId="68" priority="7" operator="equal">
      <formula>1</formula>
    </cfRule>
  </conditionalFormatting>
  <conditionalFormatting sqref="G5:H5">
    <cfRule type="containsBlanks" dxfId="69" priority="8" operator="containsBlanks">
      <formula>LEN(TRIM(G5))=0</formula>
    </cfRule>
  </conditionalFormatting>
  <dataValidations count="4">
    <dataValidation type="list" allowBlank="1" showInputMessage="1" showErrorMessage="1" sqref="G10:I68">
      <formula1>$P$10:$P$17</formula1>
    </dataValidation>
    <dataValidation type="list" allowBlank="1" showInputMessage="1" showErrorMessage="1" sqref="G5:H5">
      <formula1>$P$19:$P$20</formula1>
    </dataValidation>
    <dataValidation type="list" allowBlank="1" showInputMessage="1" showErrorMessage="1" sqref="G9:I68">
      <formula1>$P$10:$P$17</formula1>
    </dataValidation>
    <dataValidation type="list" allowBlank="1" showInputMessage="1" showErrorMessage="1" sqref="K3:M3">
      <formula1>$P$3:$P$5</formula1>
    </dataValidation>
  </dataValidations>
  <printOptions horizontalCentered="1"/>
  <pageMargins left="0.5118110236220472" right="0.5118110236220472" top="0.5905511811023623" bottom="0.5905511811023623" header="0.31496062992125984" footer="0.31496062992125984"/>
  <pageSetup paperSize="9" orientation="portrait" horizontalDpi="4294967295" verticalDpi="4294967295" scale="75" fitToWidth="1" fitToHeight="1" firstPageNumber="1" useFirstPageNumber="1" copies="1"/>
  <drawing r:id="rId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U1275"/>
  <sheetViews>
    <sheetView workbookViewId="0" showGridLines="0" zoomScale="77" zoomScaleNormal="70" view="pageBreakPreview">
      <selection activeCell="D24" sqref="D24"/>
    </sheetView>
  </sheetViews>
  <sheetFormatPr defaultRowHeight="14.45" outlineLevelRow="0" outlineLevelCol="0" x14ac:dyDescent="0" defaultColWidth="9.140625" customHeight="1"/>
  <cols>
    <col min="1" max="1" width="1.5703125" customWidth="1"/>
    <col min="2" max="2" width="1.7109375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5" width="5.7109375" customWidth="1"/>
    <col min="26" max="26" width="6.28515625" customWidth="1"/>
    <col min="27" max="27" width="5.28515625" customWidth="1"/>
    <col min="28" max="28" width="6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5" max="35" width="4.5703125" customWidth="1"/>
    <col min="36" max="36" width="15.28515625" customWidth="1"/>
    <col min="37" max="37" width="4" customWidth="1"/>
    <col min="38" max="38" width="58.7109375" customWidth="1"/>
    <col min="39" max="39" width="76.7109375" customWidth="1"/>
    <col min="40" max="40" width="140.5703125" style="20" customWidth="1"/>
  </cols>
  <sheetData>
    <row r="1" ht="8.25" customHeight="1" x14ac:dyDescent="0.25"/>
    <row r="2" ht="9.95" customHeight="1" spans="2:32" x14ac:dyDescent="0.25"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3"/>
    </row>
    <row r="3" ht="20.1" customHeight="1" spans="2:73" x14ac:dyDescent="0.25">
      <c r="B3" s="24"/>
      <c r="C3" s="25" t="s">
        <v>28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7"/>
      <c r="AF3" s="28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</row>
    <row r="4" ht="9.95" customHeight="1" spans="2:73" x14ac:dyDescent="0.25">
      <c r="B4" s="24"/>
      <c r="C4" s="30"/>
      <c r="D4" s="30"/>
      <c r="E4" s="31"/>
      <c r="F4" s="32"/>
      <c r="G4" s="30"/>
      <c r="H4" s="33"/>
      <c r="I4" s="30"/>
      <c r="J4" s="33"/>
      <c r="K4" s="30"/>
      <c r="L4" s="33"/>
      <c r="M4" s="30"/>
      <c r="N4" s="33"/>
      <c r="O4" s="30"/>
      <c r="P4" s="33"/>
      <c r="Q4" s="30"/>
      <c r="R4" s="33"/>
      <c r="S4" s="30"/>
      <c r="T4" s="33"/>
      <c r="U4" s="30"/>
      <c r="V4" s="33"/>
      <c r="W4" s="30"/>
      <c r="X4" s="33"/>
      <c r="Y4" s="30"/>
      <c r="Z4" s="33"/>
      <c r="AA4" s="30"/>
      <c r="AB4" s="33"/>
      <c r="AC4" s="30"/>
      <c r="AD4" s="33"/>
      <c r="AE4" s="30"/>
      <c r="AF4" s="28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</row>
    <row r="5" ht="20.1" customHeight="1" spans="2:73" x14ac:dyDescent="0.25">
      <c r="B5" s="24"/>
      <c r="C5" s="34" t="s">
        <v>29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28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</row>
    <row r="6" ht="20.1" customHeight="1" spans="2:73" x14ac:dyDescent="0.25">
      <c r="B6" s="24"/>
      <c r="C6" s="35" t="s">
        <v>30</v>
      </c>
      <c r="D6" s="36" t="s">
        <v>31</v>
      </c>
      <c r="E6" s="36"/>
      <c r="F6" s="36"/>
      <c r="G6" s="36"/>
      <c r="H6" s="37" t="s">
        <v>32</v>
      </c>
      <c r="I6" s="38"/>
      <c r="J6" s="39"/>
      <c r="K6" s="40" t="s">
        <v>33</v>
      </c>
      <c r="L6" s="41"/>
      <c r="M6" s="41"/>
      <c r="N6" s="41"/>
      <c r="O6" s="42"/>
      <c r="P6" s="43" t="s">
        <v>34</v>
      </c>
      <c r="Q6" s="43"/>
      <c r="R6" s="43"/>
      <c r="S6" s="43"/>
      <c r="T6" s="43" t="s">
        <v>35</v>
      </c>
      <c r="U6" s="43"/>
      <c r="V6" s="43"/>
      <c r="W6" s="43"/>
      <c r="X6" s="43"/>
      <c r="Y6" s="43"/>
      <c r="Z6" s="43"/>
      <c r="AA6" s="40" t="s">
        <v>36</v>
      </c>
      <c r="AB6" s="41"/>
      <c r="AC6" s="41"/>
      <c r="AD6" s="41"/>
      <c r="AE6" s="42"/>
      <c r="AF6" s="28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</row>
    <row r="7" ht="20.1" customHeight="1" spans="2:73" x14ac:dyDescent="0.25">
      <c r="B7" s="24"/>
      <c r="C7">
        <v>1</v>
      </c>
      <c r="D7">
        <v>500</v>
      </c>
      <c r="E7" s="44"/>
      <c r="F7" s="44"/>
      <c r="G7" s="45"/>
      <c r="H7">
        <v>10</v>
      </c>
      <c r="I7" s="44"/>
      <c r="J7" s="45"/>
      <c r="K7">
        <v>5</v>
      </c>
      <c r="L7" s="46"/>
      <c r="M7" s="46"/>
      <c r="N7" s="46"/>
      <c r="O7" s="47"/>
      <c r="P7">
        <v>25</v>
      </c>
      <c r="Q7" s="48"/>
      <c r="R7" s="48"/>
      <c r="S7" s="49"/>
      <c r="T7" t="s">
        <v>37</v>
      </c>
      <c r="U7" s="50"/>
      <c r="V7" s="50"/>
      <c r="W7" s="50"/>
      <c r="X7" s="50"/>
      <c r="Y7" s="50"/>
      <c r="Z7" s="51"/>
      <c r="AA7" t="s">
        <v>38</v>
      </c>
      <c r="AB7" s="52"/>
      <c r="AC7" s="52"/>
      <c r="AD7" s="52"/>
      <c r="AE7" s="53"/>
      <c r="AF7" s="28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</row>
    <row r="8" ht="20.1" customHeight="1" spans="2:73" x14ac:dyDescent="0.25">
      <c r="B8" s="24"/>
      <c r="C8">
        <v>2</v>
      </c>
      <c r="D8">
        <v>450</v>
      </c>
      <c r="E8" s="44"/>
      <c r="F8" s="44"/>
      <c r="G8" s="45"/>
      <c r="H8">
        <v>5</v>
      </c>
      <c r="I8" s="44"/>
      <c r="J8" s="45"/>
      <c r="K8">
        <v>2.25</v>
      </c>
      <c r="L8" s="46"/>
      <c r="M8" s="46"/>
      <c r="N8" s="46"/>
      <c r="O8" s="47"/>
      <c r="P8">
        <v>11</v>
      </c>
      <c r="Q8" s="48"/>
      <c r="R8" s="48"/>
      <c r="S8" s="49"/>
      <c r="T8" t="s">
        <v>39</v>
      </c>
      <c r="U8" s="50"/>
      <c r="V8" s="50"/>
      <c r="W8" s="50"/>
      <c r="X8" s="50"/>
      <c r="Y8" s="50"/>
      <c r="Z8" s="51"/>
      <c r="AA8" t="s">
        <v>40</v>
      </c>
      <c r="AB8" s="52"/>
      <c r="AC8" s="52"/>
      <c r="AD8" s="52"/>
      <c r="AE8" s="53"/>
      <c r="AF8" s="28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</row>
    <row r="9" ht="20.1" customHeight="1" spans="2:73" x14ac:dyDescent="0.25">
      <c r="B9" s="24"/>
      <c r="E9" s="44"/>
      <c r="F9" s="44"/>
      <c r="G9" s="45"/>
      <c r="I9" s="44"/>
      <c r="J9" s="45"/>
      <c r="L9" s="46"/>
      <c r="M9" s="46"/>
      <c r="N9" s="46"/>
      <c r="O9" s="47"/>
      <c r="Q9" s="48"/>
      <c r="R9" s="48"/>
      <c r="S9" s="49"/>
      <c r="U9" s="50"/>
      <c r="V9" s="50"/>
      <c r="W9" s="50"/>
      <c r="X9" s="50"/>
      <c r="Y9" s="50"/>
      <c r="Z9" s="51"/>
      <c r="AB9" s="52"/>
      <c r="AC9" s="52"/>
      <c r="AD9" s="52"/>
      <c r="AE9" s="53"/>
      <c r="AF9" s="28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</row>
    <row r="10" ht="20.1" customHeight="1" spans="2:73" x14ac:dyDescent="0.25">
      <c r="B10" s="24"/>
      <c r="E10" s="44"/>
      <c r="F10" s="44"/>
      <c r="G10" s="45"/>
      <c r="I10" s="44"/>
      <c r="J10" s="45"/>
      <c r="L10" s="46"/>
      <c r="M10" s="46"/>
      <c r="N10" s="46"/>
      <c r="O10" s="47"/>
      <c r="Q10" s="48"/>
      <c r="R10" s="48"/>
      <c r="S10" s="49"/>
      <c r="U10" s="50"/>
      <c r="V10" s="50"/>
      <c r="W10" s="50"/>
      <c r="X10" s="50"/>
      <c r="Y10" s="50"/>
      <c r="Z10" s="51"/>
      <c r="AB10" s="52"/>
      <c r="AC10" s="52"/>
      <c r="AD10" s="52"/>
      <c r="AE10" s="53"/>
      <c r="AF10" s="28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</row>
    <row r="11" ht="20.1" customHeight="1" spans="2:73" x14ac:dyDescent="0.25">
      <c r="B11" s="24"/>
      <c r="E11" s="44"/>
      <c r="F11" s="44"/>
      <c r="G11" s="45"/>
      <c r="I11" s="44"/>
      <c r="J11" s="45"/>
      <c r="L11" s="46"/>
      <c r="M11" s="46"/>
      <c r="N11" s="46"/>
      <c r="O11" s="47"/>
      <c r="Q11" s="48"/>
      <c r="R11" s="48"/>
      <c r="S11" s="49"/>
      <c r="U11" s="50"/>
      <c r="V11" s="50"/>
      <c r="W11" s="50"/>
      <c r="X11" s="50"/>
      <c r="Y11" s="50"/>
      <c r="Z11" s="51"/>
      <c r="AB11" s="52"/>
      <c r="AC11" s="52"/>
      <c r="AD11" s="52"/>
      <c r="AE11" s="53"/>
      <c r="AF11" s="28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</row>
    <row r="12" ht="20.1" customHeight="1" spans="2:73" x14ac:dyDescent="0.25">
      <c r="B12" s="24"/>
      <c r="E12" s="44"/>
      <c r="F12" s="44"/>
      <c r="G12" s="45"/>
      <c r="I12" s="44"/>
      <c r="J12" s="45"/>
      <c r="L12" s="46"/>
      <c r="M12" s="46"/>
      <c r="N12" s="46"/>
      <c r="O12" s="47"/>
      <c r="Q12" s="48"/>
      <c r="R12" s="48"/>
      <c r="S12" s="49"/>
      <c r="U12" s="50"/>
      <c r="V12" s="50"/>
      <c r="W12" s="50"/>
      <c r="X12" s="50"/>
      <c r="Y12" s="50"/>
      <c r="Z12" s="51"/>
      <c r="AB12" s="52"/>
      <c r="AC12" s="52"/>
      <c r="AD12" s="52"/>
      <c r="AE12" s="53"/>
      <c r="AF12" s="28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</row>
    <row r="13" ht="20.1" customHeight="1" spans="2:73" x14ac:dyDescent="0.25">
      <c r="B13" s="24"/>
      <c r="E13" s="44"/>
      <c r="F13" s="44"/>
      <c r="G13" s="45"/>
      <c r="I13" s="44"/>
      <c r="J13" s="45"/>
      <c r="L13" s="46"/>
      <c r="M13" s="46"/>
      <c r="N13" s="46"/>
      <c r="O13" s="47"/>
      <c r="Q13" s="48"/>
      <c r="R13" s="48"/>
      <c r="S13" s="49"/>
      <c r="U13" s="50"/>
      <c r="V13" s="50"/>
      <c r="W13" s="50"/>
      <c r="X13" s="50"/>
      <c r="Y13" s="50"/>
      <c r="Z13" s="51"/>
      <c r="AB13" s="52"/>
      <c r="AC13" s="52"/>
      <c r="AD13" s="52"/>
      <c r="AE13" s="53"/>
      <c r="AF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</row>
    <row r="14" ht="20.1" customHeight="1" spans="2:73" x14ac:dyDescent="0.25">
      <c r="B14" s="24"/>
      <c r="E14" s="44"/>
      <c r="F14" s="44"/>
      <c r="G14" s="45"/>
      <c r="I14" s="44"/>
      <c r="J14" s="45"/>
      <c r="L14" s="46"/>
      <c r="M14" s="46"/>
      <c r="N14" s="46"/>
      <c r="O14" s="47"/>
      <c r="Q14" s="48"/>
      <c r="R14" s="48"/>
      <c r="S14" s="49"/>
      <c r="U14" s="50"/>
      <c r="V14" s="50"/>
      <c r="W14" s="50"/>
      <c r="X14" s="50"/>
      <c r="Y14" s="50"/>
      <c r="Z14" s="51"/>
      <c r="AB14" s="52"/>
      <c r="AC14" s="52"/>
      <c r="AD14" s="52"/>
      <c r="AE14" s="53"/>
      <c r="AF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</row>
    <row r="15" ht="20.1" customHeight="1" spans="2:73" x14ac:dyDescent="0.25">
      <c r="B15" s="24"/>
      <c r="E15" s="44"/>
      <c r="F15" s="44"/>
      <c r="G15" s="45"/>
      <c r="I15" s="44"/>
      <c r="J15" s="45"/>
      <c r="L15" s="46"/>
      <c r="M15" s="46"/>
      <c r="N15" s="46"/>
      <c r="O15" s="47"/>
      <c r="Q15" s="48"/>
      <c r="R15" s="48"/>
      <c r="S15" s="49"/>
      <c r="U15" s="50"/>
      <c r="V15" s="50"/>
      <c r="W15" s="50"/>
      <c r="X15" s="50"/>
      <c r="Y15" s="50"/>
      <c r="Z15" s="51"/>
      <c r="AB15" s="52"/>
      <c r="AC15" s="52"/>
      <c r="AD15" s="52"/>
      <c r="AE15" s="53"/>
      <c r="AF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</row>
    <row r="16" ht="20.1" customHeight="1" spans="2:73" x14ac:dyDescent="0.25">
      <c r="B16" s="24"/>
      <c r="E16" s="44"/>
      <c r="F16" s="44"/>
      <c r="G16" s="45"/>
      <c r="I16" s="44"/>
      <c r="J16" s="45"/>
      <c r="L16" s="46"/>
      <c r="M16" s="46"/>
      <c r="N16" s="46"/>
      <c r="O16" s="47"/>
      <c r="Q16" s="52"/>
      <c r="R16" s="52"/>
      <c r="S16" s="53"/>
      <c r="U16" s="50"/>
      <c r="V16" s="50"/>
      <c r="W16" s="50"/>
      <c r="X16" s="50"/>
      <c r="Y16" s="50"/>
      <c r="Z16" s="51"/>
      <c r="AB16" s="52"/>
      <c r="AC16" s="52"/>
      <c r="AD16" s="52"/>
      <c r="AE16" s="53"/>
      <c r="AF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</row>
    <row r="17" ht="20.1" customHeight="1" spans="2:73" x14ac:dyDescent="0.25">
      <c r="B17" s="24"/>
      <c r="E17" s="54"/>
      <c r="F17" s="54"/>
      <c r="G17" s="54"/>
      <c r="I17" s="55"/>
      <c r="J17" s="56"/>
      <c r="L17" s="57"/>
      <c r="M17" s="57"/>
      <c r="N17" s="57"/>
      <c r="O17" s="58"/>
      <c r="Q17" s="57"/>
      <c r="R17" s="57"/>
      <c r="S17" s="58"/>
      <c r="U17" s="59"/>
      <c r="V17" s="59"/>
      <c r="W17" s="59"/>
      <c r="X17" s="59"/>
      <c r="Y17" s="59"/>
      <c r="Z17" s="59"/>
      <c r="AB17" s="59"/>
      <c r="AC17" s="59"/>
      <c r="AD17" s="59"/>
      <c r="AE17" s="59"/>
      <c r="AF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</row>
    <row r="18" ht="9.95" customHeight="1" spans="2:73" x14ac:dyDescent="0.25">
      <c r="B18" s="24"/>
      <c r="E18" s="60"/>
      <c r="F18" s="60"/>
      <c r="G18" s="60"/>
      <c r="I18" s="60"/>
      <c r="J18" s="60"/>
      <c r="L18" s="60"/>
      <c r="M18" s="60"/>
      <c r="N18" s="60"/>
      <c r="O18" s="60"/>
      <c r="Q18" s="60"/>
      <c r="R18" s="60"/>
      <c r="S18" s="60"/>
      <c r="U18" s="60"/>
      <c r="V18" s="60"/>
      <c r="W18" s="60"/>
      <c r="X18" s="60"/>
      <c r="Y18" s="60"/>
      <c r="Z18" s="60"/>
      <c r="AB18" s="60"/>
      <c r="AC18" s="60"/>
      <c r="AD18" s="60"/>
      <c r="AE18" s="60"/>
      <c r="AF18" s="28"/>
      <c r="AG18" s="61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</row>
    <row r="19" ht="9.95" customHeight="1" spans="2:73" x14ac:dyDescent="0.25">
      <c r="B19" s="24"/>
      <c r="E19" s="62"/>
      <c r="F19" s="62"/>
      <c r="G19" s="62"/>
      <c r="I19" s="62"/>
      <c r="J19" s="62"/>
      <c r="L19" s="62"/>
      <c r="M19" s="62"/>
      <c r="N19" s="62"/>
      <c r="O19" s="62"/>
      <c r="Q19" s="62"/>
      <c r="R19" s="62"/>
      <c r="S19" s="62"/>
      <c r="U19" s="62"/>
      <c r="V19" s="62"/>
      <c r="W19" s="62"/>
      <c r="X19" s="62"/>
      <c r="Y19" s="62"/>
      <c r="Z19" s="62"/>
      <c r="AB19" s="62"/>
      <c r="AC19" s="62"/>
      <c r="AD19" s="62"/>
      <c r="AE19" s="62"/>
      <c r="AF19" s="28"/>
      <c r="AG19" s="61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</row>
    <row r="20" ht="20.1" customHeight="1" spans="2:73" x14ac:dyDescent="0.25">
      <c r="B20" s="24"/>
      <c r="E20" s="34"/>
      <c r="F20" s="34"/>
      <c r="G20" s="34"/>
      <c r="I20" s="34"/>
      <c r="J20" s="34"/>
      <c r="L20" s="34"/>
      <c r="M20" s="34"/>
      <c r="N20" s="34"/>
      <c r="O20" s="34"/>
      <c r="Q20" s="34"/>
      <c r="R20" s="34"/>
      <c r="S20" s="34"/>
      <c r="U20" s="34"/>
      <c r="V20" s="34"/>
      <c r="W20" s="34"/>
      <c r="X20" s="34"/>
      <c r="Y20" s="34"/>
      <c r="Z20" s="34"/>
      <c r="AB20" s="34"/>
      <c r="AC20" s="34"/>
      <c r="AD20" s="34"/>
      <c r="AE20" s="34"/>
      <c r="AF20" s="28"/>
      <c r="AG20" s="61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</row>
    <row r="21" ht="30" customHeight="1" spans="2:73" x14ac:dyDescent="0.25">
      <c r="B21" s="24"/>
      <c r="E21" s="63"/>
      <c r="F21" s="63"/>
      <c r="G21" s="64"/>
      <c r="I21" s="63"/>
      <c r="J21" s="63"/>
      <c r="L21" s="37" t="s">
        <v>41</v>
      </c>
      <c r="M21" s="38"/>
      <c r="N21" s="38"/>
      <c r="O21" s="39"/>
      <c r="Q21" s="38"/>
      <c r="R21" s="38"/>
      <c r="S21" s="39"/>
      <c r="U21" s="38"/>
      <c r="V21" s="39"/>
      <c r="W21" s="37" t="s">
        <v>42</v>
      </c>
      <c r="X21" s="38"/>
      <c r="Y21" s="39"/>
      <c r="Z21" s="37"/>
      <c r="AB21" s="39"/>
      <c r="AC21" s="37" t="s">
        <v>43</v>
      </c>
      <c r="AD21" s="38"/>
      <c r="AE21" s="39"/>
      <c r="AF21" s="28"/>
      <c r="AG21" s="61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</row>
    <row r="22" ht="20.1" customHeight="1" spans="2:73" x14ac:dyDescent="0.25">
      <c r="B22" s="24"/>
      <c r="E22" s="65"/>
      <c r="F22" s="65"/>
      <c r="G22" s="65"/>
      <c r="I22" s="65"/>
      <c r="J22" s="65"/>
      <c r="L22" s="66">
        <v>2.5</v>
      </c>
      <c r="M22" s="66"/>
      <c r="N22" s="66"/>
      <c r="O22" s="66"/>
      <c r="Q22" s="65"/>
      <c r="R22" s="65"/>
      <c r="S22" s="65"/>
      <c r="U22" s="52"/>
      <c r="V22" s="53"/>
      <c r="W22" s="67" t="s">
        <v>44</v>
      </c>
      <c r="X22" s="52"/>
      <c r="Y22" s="53"/>
      <c r="Z22" s="67"/>
      <c r="AB22" s="53"/>
      <c r="AC22" s="67"/>
      <c r="AD22" s="52"/>
      <c r="AE22" s="53"/>
      <c r="AF22" s="28"/>
      <c r="AG22" s="61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</row>
    <row r="23" ht="20.1" customHeight="1" spans="2:73" x14ac:dyDescent="0.25">
      <c r="B23" s="24"/>
      <c r="E23" s="65"/>
      <c r="F23" s="65"/>
      <c r="G23" s="65"/>
      <c r="I23" s="65"/>
      <c r="J23" s="65"/>
      <c r="L23" s="66">
        <v>2.5</v>
      </c>
      <c r="M23" s="66"/>
      <c r="N23" s="66"/>
      <c r="O23" s="66"/>
      <c r="Q23" s="65"/>
      <c r="R23" s="65"/>
      <c r="S23" s="65"/>
      <c r="U23" s="52"/>
      <c r="V23" s="53"/>
      <c r="W23" s="67" t="s">
        <v>44</v>
      </c>
      <c r="X23" s="52"/>
      <c r="Y23" s="53"/>
      <c r="Z23" s="67"/>
      <c r="AB23" s="53"/>
      <c r="AC23" s="67"/>
      <c r="AD23" s="52"/>
      <c r="AE23" s="53"/>
      <c r="AF23" s="28"/>
      <c r="AG23" s="61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</row>
    <row r="24" ht="20.1" customHeight="1" spans="2:73" x14ac:dyDescent="0.25">
      <c r="B24" s="24"/>
      <c r="E24" s="65"/>
      <c r="F24" s="65"/>
      <c r="G24" s="65"/>
      <c r="I24" s="65"/>
      <c r="J24" s="65"/>
      <c r="L24" s="66">
        <v>2.5</v>
      </c>
      <c r="M24" s="66"/>
      <c r="N24" s="66"/>
      <c r="O24" s="66"/>
      <c r="Q24" s="65"/>
      <c r="R24" s="65"/>
      <c r="S24" s="65"/>
      <c r="U24" s="52"/>
      <c r="V24" s="53"/>
      <c r="W24" s="67" t="s">
        <v>44</v>
      </c>
      <c r="X24" s="52"/>
      <c r="Y24" s="53"/>
      <c r="Z24" s="67"/>
      <c r="AB24" s="53"/>
      <c r="AC24" s="67"/>
      <c r="AD24" s="52"/>
      <c r="AE24" s="53"/>
      <c r="AF24" s="28"/>
      <c r="AG24" s="61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</row>
    <row r="25" ht="20.1" customHeight="1" spans="2:73" x14ac:dyDescent="0.25">
      <c r="B25" s="24"/>
      <c r="E25" s="65"/>
      <c r="F25" s="65"/>
      <c r="G25" s="65"/>
      <c r="I25" s="65"/>
      <c r="J25" s="65"/>
      <c r="L25" s="66"/>
      <c r="M25" s="66"/>
      <c r="N25" s="66"/>
      <c r="O25" s="66"/>
      <c r="Q25" s="65"/>
      <c r="R25" s="65"/>
      <c r="S25" s="65"/>
      <c r="U25" s="52"/>
      <c r="V25" s="53"/>
      <c r="W25" s="67"/>
      <c r="X25" s="52"/>
      <c r="Y25" s="53"/>
      <c r="Z25" s="67"/>
      <c r="AB25" s="53"/>
      <c r="AC25" s="67"/>
      <c r="AD25" s="52"/>
      <c r="AE25" s="53"/>
      <c r="AF25" s="28"/>
      <c r="AG25" s="61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</row>
    <row r="26" ht="20.1" customHeight="1" spans="2:73" x14ac:dyDescent="0.25">
      <c r="B26" s="24"/>
      <c r="E26" s="65"/>
      <c r="F26" s="65"/>
      <c r="G26" s="65"/>
      <c r="I26" s="65"/>
      <c r="J26" s="65"/>
      <c r="L26" s="66"/>
      <c r="M26" s="66"/>
      <c r="N26" s="66"/>
      <c r="O26" s="66"/>
      <c r="Q26" s="65"/>
      <c r="R26" s="65"/>
      <c r="S26" s="65"/>
      <c r="U26" s="52"/>
      <c r="V26" s="53"/>
      <c r="W26" s="67"/>
      <c r="X26" s="52"/>
      <c r="Y26" s="53"/>
      <c r="Z26" s="67"/>
      <c r="AB26" s="53"/>
      <c r="AC26" s="67"/>
      <c r="AD26" s="52"/>
      <c r="AE26" s="53"/>
      <c r="AF26" s="28"/>
      <c r="AG26" s="61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</row>
    <row r="27" ht="20.1" customHeight="1" spans="2:73" x14ac:dyDescent="0.25">
      <c r="B27" s="24"/>
      <c r="E27" s="65"/>
      <c r="F27" s="65"/>
      <c r="G27" s="65"/>
      <c r="I27" s="65"/>
      <c r="J27" s="65"/>
      <c r="L27" s="66"/>
      <c r="M27" s="66"/>
      <c r="N27" s="66"/>
      <c r="O27" s="66"/>
      <c r="Q27" s="65"/>
      <c r="R27" s="65"/>
      <c r="S27" s="65"/>
      <c r="U27" s="52"/>
      <c r="V27" s="53"/>
      <c r="W27" s="67"/>
      <c r="X27" s="52"/>
      <c r="Y27" s="53"/>
      <c r="Z27" s="67"/>
      <c r="AB27" s="53"/>
      <c r="AC27" s="67"/>
      <c r="AD27" s="52"/>
      <c r="AE27" s="53"/>
      <c r="AF27" s="28"/>
      <c r="AG27" s="61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</row>
    <row r="28" ht="20.1" customHeight="1" spans="2:73" x14ac:dyDescent="0.25">
      <c r="B28" s="24"/>
      <c r="E28" s="65"/>
      <c r="F28" s="65"/>
      <c r="G28" s="65"/>
      <c r="I28" s="65"/>
      <c r="J28" s="65"/>
      <c r="L28" s="66"/>
      <c r="M28" s="66"/>
      <c r="N28" s="66"/>
      <c r="O28" s="66"/>
      <c r="Q28" s="65"/>
      <c r="R28" s="65"/>
      <c r="S28" s="65"/>
      <c r="U28" s="52"/>
      <c r="V28" s="53"/>
      <c r="W28" s="67"/>
      <c r="X28" s="52"/>
      <c r="Y28" s="53"/>
      <c r="Z28" s="67"/>
      <c r="AB28" s="53"/>
      <c r="AC28" s="67"/>
      <c r="AD28" s="52"/>
      <c r="AE28" s="53"/>
      <c r="AF28" s="28"/>
      <c r="AG28" s="61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</row>
    <row r="29" ht="20.1" customHeight="1" spans="2:73" x14ac:dyDescent="0.25">
      <c r="B29" s="24"/>
      <c r="E29" s="65"/>
      <c r="F29" s="65"/>
      <c r="G29" s="65"/>
      <c r="I29" s="65"/>
      <c r="J29" s="65"/>
      <c r="L29" s="66"/>
      <c r="M29" s="66"/>
      <c r="N29" s="66"/>
      <c r="O29" s="66"/>
      <c r="Q29" s="65"/>
      <c r="R29" s="65"/>
      <c r="S29" s="65"/>
      <c r="U29" s="52"/>
      <c r="V29" s="53"/>
      <c r="W29" s="67"/>
      <c r="X29" s="52"/>
      <c r="Y29" s="53"/>
      <c r="Z29" s="67"/>
      <c r="AB29" s="53"/>
      <c r="AC29" s="67"/>
      <c r="AD29" s="52"/>
      <c r="AE29" s="53"/>
      <c r="AF29" s="28"/>
      <c r="AG29" s="61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</row>
    <row r="30" ht="20.1" customHeight="1" spans="2:73" x14ac:dyDescent="0.25">
      <c r="B30" s="24"/>
      <c r="E30" s="65"/>
      <c r="F30" s="65"/>
      <c r="G30" s="65"/>
      <c r="I30" s="65"/>
      <c r="J30" s="65"/>
      <c r="L30" s="66"/>
      <c r="M30" s="66"/>
      <c r="N30" s="66"/>
      <c r="O30" s="66"/>
      <c r="Q30" s="65"/>
      <c r="R30" s="65"/>
      <c r="S30" s="65"/>
      <c r="U30" s="52"/>
      <c r="V30" s="53"/>
      <c r="W30" s="67"/>
      <c r="X30" s="52"/>
      <c r="Y30" s="53"/>
      <c r="Z30" s="67"/>
      <c r="AB30" s="53"/>
      <c r="AC30" s="67"/>
      <c r="AD30" s="52"/>
      <c r="AE30" s="53"/>
      <c r="AF30" s="28"/>
      <c r="AG30" s="61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</row>
    <row r="31" ht="20.1" customHeight="1" spans="2:73" x14ac:dyDescent="0.25">
      <c r="B31" s="24"/>
      <c r="E31" s="65"/>
      <c r="F31" s="65"/>
      <c r="G31" s="65"/>
      <c r="I31" s="65"/>
      <c r="J31" s="65"/>
      <c r="L31" s="66"/>
      <c r="M31" s="66"/>
      <c r="N31" s="66"/>
      <c r="O31" s="66"/>
      <c r="Q31" s="65"/>
      <c r="R31" s="65"/>
      <c r="S31" s="65"/>
      <c r="U31" s="52"/>
      <c r="V31" s="53"/>
      <c r="W31" s="67"/>
      <c r="X31" s="52"/>
      <c r="Y31" s="53"/>
      <c r="Z31" s="67"/>
      <c r="AB31" s="53"/>
      <c r="AC31" s="67"/>
      <c r="AD31" s="52"/>
      <c r="AE31" s="53"/>
      <c r="AF31" s="28"/>
      <c r="AG31" s="61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</row>
    <row r="32" ht="20.1" customHeight="1" spans="2:73" x14ac:dyDescent="0.25">
      <c r="B32" s="24"/>
      <c r="E32" s="65"/>
      <c r="F32" s="65"/>
      <c r="G32" s="65"/>
      <c r="I32" s="65"/>
      <c r="J32" s="65"/>
      <c r="L32" s="66"/>
      <c r="M32" s="66"/>
      <c r="N32" s="66"/>
      <c r="O32" s="66"/>
      <c r="Q32" s="65"/>
      <c r="R32" s="65"/>
      <c r="S32" s="65"/>
      <c r="U32" s="52"/>
      <c r="V32" s="53"/>
      <c r="W32" s="67"/>
      <c r="X32" s="52"/>
      <c r="Y32" s="53"/>
      <c r="Z32" s="67"/>
      <c r="AB32" s="53"/>
      <c r="AC32" s="67"/>
      <c r="AD32" s="52"/>
      <c r="AE32" s="53"/>
      <c r="AF32" s="28"/>
      <c r="AG32" s="61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</row>
    <row r="33" ht="20.1" customHeight="1" spans="2:73" x14ac:dyDescent="0.25">
      <c r="B33" s="24"/>
      <c r="E33" s="65"/>
      <c r="F33" s="65"/>
      <c r="G33" s="65"/>
      <c r="I33" s="65"/>
      <c r="J33" s="65"/>
      <c r="L33" s="66"/>
      <c r="M33" s="66"/>
      <c r="N33" s="66"/>
      <c r="O33" s="66"/>
      <c r="Q33" s="65"/>
      <c r="R33" s="65"/>
      <c r="S33" s="65"/>
      <c r="U33" s="52"/>
      <c r="V33" s="53"/>
      <c r="W33" s="67"/>
      <c r="X33" s="52"/>
      <c r="Y33" s="53"/>
      <c r="Z33" s="67"/>
      <c r="AB33" s="53"/>
      <c r="AC33" s="67"/>
      <c r="AD33" s="52"/>
      <c r="AE33" s="53"/>
      <c r="AF33" s="28"/>
      <c r="AG33" s="61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</row>
    <row r="34" ht="20.1" customHeight="1" spans="2:73" x14ac:dyDescent="0.25">
      <c r="B34" s="24"/>
      <c r="E34" s="65"/>
      <c r="F34" s="65"/>
      <c r="G34" s="65"/>
      <c r="I34" s="65"/>
      <c r="J34" s="65"/>
      <c r="L34" s="66"/>
      <c r="M34" s="66"/>
      <c r="N34" s="66"/>
      <c r="O34" s="66"/>
      <c r="Q34" s="65"/>
      <c r="R34" s="65"/>
      <c r="S34" s="65"/>
      <c r="U34" s="52"/>
      <c r="V34" s="53"/>
      <c r="W34" s="67"/>
      <c r="X34" s="52"/>
      <c r="Y34" s="53"/>
      <c r="Z34" s="67"/>
      <c r="AB34" s="53"/>
      <c r="AC34" s="67"/>
      <c r="AD34" s="52"/>
      <c r="AE34" s="53"/>
      <c r="AF34" s="28"/>
      <c r="AG34" s="61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</row>
    <row r="35" ht="20.1" customHeight="1" spans="2:73" x14ac:dyDescent="0.25">
      <c r="B35" s="24"/>
      <c r="E35" s="65"/>
      <c r="F35" s="65"/>
      <c r="G35" s="65"/>
      <c r="I35" s="65"/>
      <c r="J35" s="65"/>
      <c r="L35" s="66"/>
      <c r="M35" s="66"/>
      <c r="N35" s="66"/>
      <c r="O35" s="66"/>
      <c r="Q35" s="65"/>
      <c r="R35" s="65"/>
      <c r="S35" s="65"/>
      <c r="U35" s="52"/>
      <c r="V35" s="53"/>
      <c r="W35" s="67"/>
      <c r="X35" s="52"/>
      <c r="Y35" s="53"/>
      <c r="Z35" s="67"/>
      <c r="AB35" s="53"/>
      <c r="AC35" s="67"/>
      <c r="AD35" s="52"/>
      <c r="AE35" s="53"/>
      <c r="AF35" s="28"/>
      <c r="AG35" s="61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</row>
    <row r="36" ht="20.1" customHeight="1" spans="2:73" x14ac:dyDescent="0.25">
      <c r="B36" s="24"/>
      <c r="E36" s="65"/>
      <c r="F36" s="65"/>
      <c r="G36" s="65"/>
      <c r="I36" s="65"/>
      <c r="J36" s="65"/>
      <c r="L36" s="66"/>
      <c r="M36" s="66"/>
      <c r="N36" s="66"/>
      <c r="O36" s="66"/>
      <c r="Q36" s="65"/>
      <c r="R36" s="65"/>
      <c r="S36" s="65"/>
      <c r="U36" s="52"/>
      <c r="V36" s="53"/>
      <c r="W36" s="67"/>
      <c r="X36" s="52"/>
      <c r="Y36" s="53"/>
      <c r="Z36" s="67"/>
      <c r="AB36" s="53"/>
      <c r="AC36" s="67"/>
      <c r="AD36" s="52"/>
      <c r="AE36" s="53"/>
      <c r="AF36" s="28"/>
      <c r="AG36" s="61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</row>
    <row r="37" ht="20.1" customHeight="1" spans="2:73" x14ac:dyDescent="0.25">
      <c r="B37" s="24"/>
      <c r="E37" s="65"/>
      <c r="F37" s="65"/>
      <c r="G37" s="65"/>
      <c r="I37" s="65"/>
      <c r="J37" s="65"/>
      <c r="L37" s="66"/>
      <c r="M37" s="66"/>
      <c r="N37" s="66"/>
      <c r="O37" s="66"/>
      <c r="Q37" s="65"/>
      <c r="R37" s="65"/>
      <c r="S37" s="65"/>
      <c r="U37" s="52"/>
      <c r="V37" s="53"/>
      <c r="W37" s="67"/>
      <c r="X37" s="52"/>
      <c r="Y37" s="53"/>
      <c r="Z37" s="67"/>
      <c r="AB37" s="53"/>
      <c r="AC37" s="67"/>
      <c r="AD37" s="52"/>
      <c r="AE37" s="53"/>
      <c r="AF37" s="28"/>
      <c r="AG37" s="61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</row>
    <row r="38" ht="20.1" customHeight="1" spans="2:73" x14ac:dyDescent="0.25">
      <c r="B38" s="24"/>
      <c r="E38" s="65"/>
      <c r="F38" s="65"/>
      <c r="G38" s="65"/>
      <c r="I38" s="65"/>
      <c r="J38" s="65"/>
      <c r="L38" s="66"/>
      <c r="M38" s="66"/>
      <c r="N38" s="66"/>
      <c r="O38" s="66"/>
      <c r="Q38" s="65"/>
      <c r="R38" s="65"/>
      <c r="S38" s="65"/>
      <c r="U38" s="52"/>
      <c r="V38" s="53"/>
      <c r="W38" s="67"/>
      <c r="X38" s="52"/>
      <c r="Y38" s="53"/>
      <c r="Z38" s="67"/>
      <c r="AB38" s="53"/>
      <c r="AC38" s="67"/>
      <c r="AD38" s="52"/>
      <c r="AE38" s="53"/>
      <c r="AF38" s="28"/>
      <c r="AG38" s="61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</row>
    <row r="39" ht="20.1" customHeight="1" spans="2:73" x14ac:dyDescent="0.25">
      <c r="B39" s="24"/>
      <c r="E39" s="65"/>
      <c r="F39" s="65"/>
      <c r="G39" s="65"/>
      <c r="I39" s="65"/>
      <c r="J39" s="65"/>
      <c r="L39" s="66"/>
      <c r="M39" s="66"/>
      <c r="N39" s="66"/>
      <c r="O39" s="66"/>
      <c r="Q39" s="65"/>
      <c r="R39" s="65"/>
      <c r="S39" s="65"/>
      <c r="U39" s="52"/>
      <c r="V39" s="53"/>
      <c r="W39" s="67"/>
      <c r="X39" s="52"/>
      <c r="Y39" s="53"/>
      <c r="Z39" s="67"/>
      <c r="AB39" s="53"/>
      <c r="AC39" s="67"/>
      <c r="AD39" s="52"/>
      <c r="AE39" s="53"/>
      <c r="AF39" s="28"/>
      <c r="AG39" s="61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</row>
    <row r="40" ht="20.1" customHeight="1" spans="2:73" x14ac:dyDescent="0.25">
      <c r="B40" s="24"/>
      <c r="E40" s="65"/>
      <c r="F40" s="65"/>
      <c r="G40" s="65"/>
      <c r="I40" s="65"/>
      <c r="J40" s="65"/>
      <c r="L40" s="66"/>
      <c r="M40" s="66"/>
      <c r="N40" s="66"/>
      <c r="O40" s="66"/>
      <c r="Q40" s="65"/>
      <c r="R40" s="65"/>
      <c r="S40" s="65"/>
      <c r="U40" s="52"/>
      <c r="V40" s="53"/>
      <c r="W40" s="67"/>
      <c r="X40" s="52"/>
      <c r="Y40" s="53"/>
      <c r="Z40" s="67"/>
      <c r="AB40" s="53"/>
      <c r="AC40" s="67"/>
      <c r="AD40" s="52"/>
      <c r="AE40" s="53"/>
      <c r="AF40" s="28"/>
      <c r="AG40" s="61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</row>
    <row r="41" ht="20.1" customHeight="1" spans="2:73" x14ac:dyDescent="0.25">
      <c r="B41" s="24"/>
      <c r="E41" s="65"/>
      <c r="F41" s="65"/>
      <c r="G41" s="65"/>
      <c r="I41" s="65"/>
      <c r="J41" s="65"/>
      <c r="L41" s="66"/>
      <c r="M41" s="66"/>
      <c r="N41" s="66"/>
      <c r="O41" s="66"/>
      <c r="Q41" s="65"/>
      <c r="R41" s="65"/>
      <c r="S41" s="65"/>
      <c r="U41" s="52"/>
      <c r="V41" s="53"/>
      <c r="W41" s="67"/>
      <c r="X41" s="52"/>
      <c r="Y41" s="53"/>
      <c r="Z41" s="67"/>
      <c r="AB41" s="53"/>
      <c r="AC41" s="67"/>
      <c r="AD41" s="52"/>
      <c r="AE41" s="53"/>
      <c r="AF41" s="28"/>
      <c r="AG41" s="61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</row>
    <row r="42" ht="20.1" customHeight="1" spans="2:73" x14ac:dyDescent="0.25">
      <c r="B42" s="24"/>
      <c r="E42" s="65"/>
      <c r="F42" s="65"/>
      <c r="G42" s="65"/>
      <c r="I42" s="65"/>
      <c r="J42" s="65"/>
      <c r="L42" s="66"/>
      <c r="M42" s="66"/>
      <c r="N42" s="66"/>
      <c r="O42" s="66"/>
      <c r="Q42" s="65"/>
      <c r="R42" s="65"/>
      <c r="S42" s="65"/>
      <c r="U42" s="52"/>
      <c r="V42" s="53"/>
      <c r="W42" s="67"/>
      <c r="X42" s="52"/>
      <c r="Y42" s="53"/>
      <c r="Z42" s="67"/>
      <c r="AB42" s="53"/>
      <c r="AC42" s="67"/>
      <c r="AD42" s="52"/>
      <c r="AE42" s="53"/>
      <c r="AF42" s="28"/>
      <c r="AG42" s="61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</row>
    <row r="43" ht="20.1" customHeight="1" spans="2:73" x14ac:dyDescent="0.25">
      <c r="B43" s="24"/>
      <c r="E43" s="65"/>
      <c r="F43" s="65"/>
      <c r="G43" s="65"/>
      <c r="I43" s="65"/>
      <c r="J43" s="65"/>
      <c r="L43" s="66"/>
      <c r="M43" s="66"/>
      <c r="N43" s="66"/>
      <c r="O43" s="66"/>
      <c r="Q43" s="65"/>
      <c r="R43" s="65"/>
      <c r="S43" s="65"/>
      <c r="U43" s="52"/>
      <c r="V43" s="53"/>
      <c r="W43" s="67"/>
      <c r="X43" s="52"/>
      <c r="Y43" s="53"/>
      <c r="Z43" s="67"/>
      <c r="AB43" s="53"/>
      <c r="AC43" s="67"/>
      <c r="AD43" s="52"/>
      <c r="AE43" s="53"/>
      <c r="AF43" s="28"/>
      <c r="AG43" s="61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</row>
    <row r="44" ht="20.1" customHeight="1" spans="2:73" x14ac:dyDescent="0.25">
      <c r="B44" s="24"/>
      <c r="E44" s="65"/>
      <c r="F44" s="65"/>
      <c r="G44" s="65"/>
      <c r="I44" s="65"/>
      <c r="J44" s="65"/>
      <c r="L44" s="66"/>
      <c r="M44" s="66"/>
      <c r="N44" s="66"/>
      <c r="O44" s="66"/>
      <c r="Q44" s="65"/>
      <c r="R44" s="65"/>
      <c r="S44" s="65"/>
      <c r="U44" s="52"/>
      <c r="V44" s="53"/>
      <c r="W44" s="67"/>
      <c r="X44" s="52"/>
      <c r="Y44" s="53"/>
      <c r="Z44" s="67"/>
      <c r="AB44" s="53"/>
      <c r="AC44" s="67"/>
      <c r="AD44" s="52"/>
      <c r="AE44" s="53"/>
      <c r="AF44" s="28"/>
      <c r="AG44" s="61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</row>
    <row r="45" ht="20.1" customHeight="1" spans="2:73" x14ac:dyDescent="0.25">
      <c r="B45" s="24"/>
      <c r="E45" s="65"/>
      <c r="F45" s="65"/>
      <c r="G45" s="65"/>
      <c r="I45" s="65"/>
      <c r="J45" s="65"/>
      <c r="L45" s="66"/>
      <c r="M45" s="66"/>
      <c r="N45" s="66"/>
      <c r="O45" s="66"/>
      <c r="Q45" s="65"/>
      <c r="R45" s="65"/>
      <c r="S45" s="65"/>
      <c r="U45" s="52"/>
      <c r="V45" s="53"/>
      <c r="W45" s="67"/>
      <c r="X45" s="52"/>
      <c r="Y45" s="53"/>
      <c r="Z45" s="67"/>
      <c r="AB45" s="53"/>
      <c r="AC45" s="67"/>
      <c r="AD45" s="52"/>
      <c r="AE45" s="53"/>
      <c r="AF45" s="28"/>
      <c r="AG45" s="61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</row>
    <row r="46" ht="20.1" customHeight="1" spans="2:73" x14ac:dyDescent="0.25">
      <c r="B46" s="24"/>
      <c r="E46" s="65"/>
      <c r="F46" s="65"/>
      <c r="G46" s="65"/>
      <c r="I46" s="65"/>
      <c r="J46" s="65"/>
      <c r="L46" s="66"/>
      <c r="M46" s="66"/>
      <c r="N46" s="66"/>
      <c r="O46" s="66"/>
      <c r="Q46" s="65"/>
      <c r="R46" s="65"/>
      <c r="S46" s="65"/>
      <c r="U46" s="52"/>
      <c r="V46" s="53"/>
      <c r="W46" s="67"/>
      <c r="X46" s="52"/>
      <c r="Y46" s="53"/>
      <c r="Z46" s="67"/>
      <c r="AB46" s="53"/>
      <c r="AC46" s="67"/>
      <c r="AD46" s="52"/>
      <c r="AE46" s="53"/>
      <c r="AF46" s="28"/>
      <c r="AG46" s="61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</row>
    <row r="47" ht="20.1" customHeight="1" spans="2:73" x14ac:dyDescent="0.25">
      <c r="B47" s="24"/>
      <c r="E47" s="65"/>
      <c r="F47" s="65"/>
      <c r="G47" s="65"/>
      <c r="I47" s="65"/>
      <c r="J47" s="65"/>
      <c r="L47" s="66"/>
      <c r="M47" s="66"/>
      <c r="N47" s="66"/>
      <c r="O47" s="66"/>
      <c r="Q47" s="65"/>
      <c r="R47" s="65"/>
      <c r="S47" s="65"/>
      <c r="U47" s="52"/>
      <c r="V47" s="53"/>
      <c r="W47" s="67"/>
      <c r="X47" s="52"/>
      <c r="Y47" s="53"/>
      <c r="Z47" s="67"/>
      <c r="AB47" s="53"/>
      <c r="AC47" s="67"/>
      <c r="AD47" s="52"/>
      <c r="AE47" s="53"/>
      <c r="AF47" s="28"/>
      <c r="AG47" s="61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</row>
    <row r="48" ht="20.1" customHeight="1" spans="2:73" x14ac:dyDescent="0.25">
      <c r="B48" s="24"/>
      <c r="E48" s="65"/>
      <c r="F48" s="65"/>
      <c r="G48" s="65"/>
      <c r="I48" s="65"/>
      <c r="J48" s="65"/>
      <c r="L48" s="66"/>
      <c r="M48" s="66"/>
      <c r="N48" s="66"/>
      <c r="O48" s="66"/>
      <c r="Q48" s="65"/>
      <c r="R48" s="65"/>
      <c r="S48" s="65"/>
      <c r="U48" s="52"/>
      <c r="V48" s="53"/>
      <c r="W48" s="67"/>
      <c r="X48" s="52"/>
      <c r="Y48" s="53"/>
      <c r="Z48" s="67"/>
      <c r="AB48" s="53"/>
      <c r="AC48" s="67"/>
      <c r="AD48" s="52"/>
      <c r="AE48" s="53"/>
      <c r="AF48" s="28"/>
      <c r="AG48" s="61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</row>
    <row r="49" ht="20.1" customHeight="1" spans="2:73" x14ac:dyDescent="0.25">
      <c r="B49" s="24"/>
      <c r="E49" s="65"/>
      <c r="F49" s="65"/>
      <c r="G49" s="65"/>
      <c r="I49" s="65"/>
      <c r="J49" s="65"/>
      <c r="L49" s="66"/>
      <c r="M49" s="66"/>
      <c r="N49" s="66"/>
      <c r="O49" s="66"/>
      <c r="Q49" s="65"/>
      <c r="R49" s="65"/>
      <c r="S49" s="65"/>
      <c r="U49" s="52"/>
      <c r="V49" s="53"/>
      <c r="W49" s="67"/>
      <c r="X49" s="52"/>
      <c r="Y49" s="53"/>
      <c r="Z49" s="67"/>
      <c r="AB49" s="53"/>
      <c r="AC49" s="67"/>
      <c r="AD49" s="52"/>
      <c r="AE49" s="53"/>
      <c r="AF49" s="28"/>
      <c r="AG49" s="61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</row>
    <row r="50" ht="20.1" customHeight="1" spans="2:73" x14ac:dyDescent="0.25">
      <c r="B50" s="24"/>
      <c r="E50" s="65"/>
      <c r="F50" s="65"/>
      <c r="G50" s="65"/>
      <c r="I50" s="65"/>
      <c r="J50" s="65"/>
      <c r="L50" s="66"/>
      <c r="M50" s="66"/>
      <c r="N50" s="66"/>
      <c r="O50" s="66"/>
      <c r="Q50" s="65"/>
      <c r="R50" s="65"/>
      <c r="S50" s="65"/>
      <c r="U50" s="52"/>
      <c r="V50" s="53"/>
      <c r="W50" s="67"/>
      <c r="X50" s="52"/>
      <c r="Y50" s="53"/>
      <c r="Z50" s="67"/>
      <c r="AB50" s="53"/>
      <c r="AC50" s="67"/>
      <c r="AD50" s="52"/>
      <c r="AE50" s="53"/>
      <c r="AF50" s="28"/>
      <c r="AG50" s="61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</row>
    <row r="51" ht="20.1" customHeight="1" spans="2:73" x14ac:dyDescent="0.25">
      <c r="B51" s="24"/>
      <c r="C51" s="68">
        <v>30</v>
      </c>
      <c r="D51" s="65"/>
      <c r="E51" s="65"/>
      <c r="F51" s="65"/>
      <c r="G51" s="65"/>
      <c r="H51" s="65"/>
      <c r="I51" s="65"/>
      <c r="J51" s="65"/>
      <c r="K51" s="65"/>
      <c r="L51" s="66"/>
      <c r="M51" s="66"/>
      <c r="N51" s="66"/>
      <c r="O51" s="66"/>
      <c r="P51" s="65"/>
      <c r="Q51" s="65"/>
      <c r="R51" s="65"/>
      <c r="S51" s="65"/>
      <c r="T51" s="67"/>
      <c r="U51" s="52"/>
      <c r="V51" s="53"/>
      <c r="W51" s="67"/>
      <c r="X51" s="52"/>
      <c r="Y51" s="53"/>
      <c r="Z51" s="67"/>
      <c r="AA51" s="52"/>
      <c r="AB51" s="53"/>
      <c r="AC51" s="67"/>
      <c r="AD51" s="52"/>
      <c r="AE51" s="53"/>
      <c r="AF51" s="28"/>
      <c r="AG51" s="61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</row>
    <row r="52" ht="20.1" customHeight="1" spans="2:73" x14ac:dyDescent="0.25">
      <c r="B52" s="24"/>
      <c r="C52" s="69" t="s">
        <v>45</v>
      </c>
      <c r="D52" s="70"/>
      <c r="E52" s="71"/>
      <c r="F52" s="71"/>
      <c r="G52" s="71"/>
      <c r="H52" s="71"/>
      <c r="I52" s="71"/>
      <c r="J52" s="71"/>
      <c r="K52" s="72"/>
      <c r="L52" s="73">
        <f>SUM(L22:O51)</f>
        <v>7.5</v>
      </c>
      <c r="M52" s="73"/>
      <c r="N52" s="73"/>
      <c r="O52" s="73"/>
      <c r="P52" s="70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2"/>
      <c r="AF52" s="28"/>
      <c r="AG52" s="61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</row>
    <row r="53" ht="9.95" customHeight="1" spans="2:73" x14ac:dyDescent="0.25">
      <c r="B53" s="24"/>
      <c r="C53" s="60" t="s">
        <v>46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2"/>
      <c r="AD53" s="62"/>
      <c r="AE53" s="62"/>
      <c r="AF53" s="28"/>
      <c r="AG53" s="61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</row>
    <row r="54" ht="9.95" customHeight="1" spans="2:73" x14ac:dyDescent="0.25">
      <c r="B54" s="24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28"/>
      <c r="AG54" s="61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</row>
    <row r="55" ht="20.1" customHeight="1" spans="2:73" x14ac:dyDescent="0.25">
      <c r="B55" s="24"/>
      <c r="C55" s="34" t="s">
        <v>47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28"/>
      <c r="AG55" s="61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</row>
    <row r="56" ht="39.95" customHeight="1" spans="2:73" x14ac:dyDescent="0.25">
      <c r="B56" s="24"/>
      <c r="C56" s="74" t="s">
        <v>48</v>
      </c>
      <c r="D56" s="75" t="s">
        <v>49</v>
      </c>
      <c r="E56" s="76"/>
      <c r="F56" s="77" t="s">
        <v>50</v>
      </c>
      <c r="G56" s="77"/>
      <c r="H56" s="77" t="s">
        <v>51</v>
      </c>
      <c r="I56" s="77"/>
      <c r="J56" s="77" t="s">
        <v>52</v>
      </c>
      <c r="K56" s="77"/>
      <c r="L56" s="77" t="s">
        <v>53</v>
      </c>
      <c r="M56" s="77"/>
      <c r="N56" s="78" t="s">
        <v>54</v>
      </c>
      <c r="O56" s="79"/>
      <c r="P56" s="80" t="s">
        <v>55</v>
      </c>
      <c r="Q56" s="81"/>
      <c r="R56" s="81"/>
      <c r="S56" s="81"/>
      <c r="T56" s="81"/>
      <c r="U56" s="82"/>
      <c r="V56" s="80" t="s">
        <v>56</v>
      </c>
      <c r="W56" s="81"/>
      <c r="X56" s="81"/>
      <c r="Y56" s="81"/>
      <c r="Z56" s="81"/>
      <c r="AA56" s="82"/>
      <c r="AB56" s="78" t="s">
        <v>57</v>
      </c>
      <c r="AC56" s="79"/>
      <c r="AD56" s="78" t="s">
        <v>58</v>
      </c>
      <c r="AE56" s="79"/>
      <c r="AF56" s="28"/>
      <c r="AG56" s="61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</row>
    <row r="57" ht="39.95" customHeight="1" spans="2:73" x14ac:dyDescent="0.25">
      <c r="B57" s="24"/>
      <c r="C57" s="83"/>
      <c r="D57" s="84"/>
      <c r="E57" s="85"/>
      <c r="F57" s="77"/>
      <c r="G57" s="77"/>
      <c r="H57" s="77"/>
      <c r="I57" s="77"/>
      <c r="J57" s="77"/>
      <c r="K57" s="77"/>
      <c r="L57" s="77"/>
      <c r="M57" s="77"/>
      <c r="N57" s="86"/>
      <c r="O57" s="87"/>
      <c r="P57" s="80" t="s">
        <v>59</v>
      </c>
      <c r="Q57" s="81"/>
      <c r="R57" s="82"/>
      <c r="S57" s="80" t="s">
        <v>60</v>
      </c>
      <c r="T57" s="81"/>
      <c r="U57" s="82"/>
      <c r="V57" s="80" t="s">
        <v>61</v>
      </c>
      <c r="W57" s="81"/>
      <c r="X57" s="82"/>
      <c r="Y57" s="80" t="s">
        <v>62</v>
      </c>
      <c r="Z57" s="81"/>
      <c r="AA57" s="82"/>
      <c r="AB57" s="86"/>
      <c r="AC57" s="87"/>
      <c r="AD57" s="86"/>
      <c r="AE57" s="87"/>
      <c r="AF57" s="28"/>
      <c r="AG57" s="61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</row>
    <row r="58" ht="20.1" customHeight="1" spans="2:73" x14ac:dyDescent="0.25">
      <c r="B58" s="24"/>
      <c r="C58" s="68">
        <v>1</v>
      </c>
      <c r="D58" s="67"/>
      <c r="E58" s="53"/>
      <c r="F58" s="65"/>
      <c r="G58" s="65"/>
      <c r="H58" s="65"/>
      <c r="I58" s="65"/>
      <c r="J58" s="65"/>
      <c r="K58" s="65"/>
      <c r="L58" s="65"/>
      <c r="M58" s="65"/>
      <c r="N58" s="67"/>
      <c r="O58" s="53"/>
      <c r="P58" s="67"/>
      <c r="Q58" s="52"/>
      <c r="R58" s="53"/>
      <c r="S58" s="67"/>
      <c r="T58" s="52"/>
      <c r="U58" s="53"/>
      <c r="V58" s="88"/>
      <c r="W58" s="48"/>
      <c r="X58" s="49"/>
      <c r="Y58" s="89"/>
      <c r="Z58" s="44"/>
      <c r="AA58" s="45"/>
      <c r="AB58" s="90"/>
      <c r="AC58" s="90"/>
      <c r="AD58" s="90"/>
      <c r="AE58" s="90"/>
      <c r="AF58" s="28"/>
      <c r="AG58" s="61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</row>
    <row r="59" ht="20.1" customHeight="1" spans="2:73" x14ac:dyDescent="0.25">
      <c r="B59" s="24"/>
      <c r="C59" s="68">
        <v>2</v>
      </c>
      <c r="D59" s="67"/>
      <c r="E59" s="53"/>
      <c r="F59" s="65"/>
      <c r="G59" s="65"/>
      <c r="H59" s="65"/>
      <c r="I59" s="65"/>
      <c r="J59" s="65"/>
      <c r="K59" s="65"/>
      <c r="L59" s="65"/>
      <c r="M59" s="65"/>
      <c r="N59" s="67"/>
      <c r="O59" s="53"/>
      <c r="P59" s="67"/>
      <c r="Q59" s="52"/>
      <c r="R59" s="53"/>
      <c r="S59" s="67"/>
      <c r="T59" s="52"/>
      <c r="U59" s="53"/>
      <c r="V59" s="88"/>
      <c r="W59" s="48"/>
      <c r="X59" s="49"/>
      <c r="Y59" s="89"/>
      <c r="Z59" s="44"/>
      <c r="AA59" s="45"/>
      <c r="AB59" s="90"/>
      <c r="AC59" s="90"/>
      <c r="AD59" s="90"/>
      <c r="AE59" s="90"/>
      <c r="AF59" s="28"/>
      <c r="AG59" s="61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</row>
    <row r="60" ht="20.1" customHeight="1" spans="2:73" x14ac:dyDescent="0.25">
      <c r="B60" s="24"/>
      <c r="C60" s="68">
        <v>3</v>
      </c>
      <c r="D60" s="67"/>
      <c r="E60" s="53"/>
      <c r="F60" s="65"/>
      <c r="G60" s="65"/>
      <c r="H60" s="65"/>
      <c r="I60" s="65"/>
      <c r="J60" s="65"/>
      <c r="K60" s="65"/>
      <c r="L60" s="65"/>
      <c r="M60" s="65"/>
      <c r="N60" s="67"/>
      <c r="O60" s="53"/>
      <c r="P60" s="67"/>
      <c r="Q60" s="52"/>
      <c r="R60" s="53"/>
      <c r="S60" s="67"/>
      <c r="T60" s="52"/>
      <c r="U60" s="53"/>
      <c r="V60" s="88"/>
      <c r="W60" s="48"/>
      <c r="X60" s="49"/>
      <c r="Y60" s="89"/>
      <c r="Z60" s="44"/>
      <c r="AA60" s="45"/>
      <c r="AB60" s="90"/>
      <c r="AC60" s="90"/>
      <c r="AD60" s="90"/>
      <c r="AE60" s="90"/>
      <c r="AF60" s="28"/>
      <c r="AG60" s="61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</row>
    <row r="61" ht="20.1" customHeight="1" spans="2:73" x14ac:dyDescent="0.25">
      <c r="B61" s="24"/>
      <c r="C61" s="68">
        <v>4</v>
      </c>
      <c r="D61" s="67"/>
      <c r="E61" s="53"/>
      <c r="F61" s="65"/>
      <c r="G61" s="65"/>
      <c r="H61" s="65"/>
      <c r="I61" s="65"/>
      <c r="J61" s="65"/>
      <c r="K61" s="65"/>
      <c r="L61" s="65"/>
      <c r="M61" s="65"/>
      <c r="N61" s="67"/>
      <c r="O61" s="53"/>
      <c r="P61" s="67"/>
      <c r="Q61" s="52"/>
      <c r="R61" s="53"/>
      <c r="S61" s="67"/>
      <c r="T61" s="52"/>
      <c r="U61" s="53"/>
      <c r="V61" s="88"/>
      <c r="W61" s="48"/>
      <c r="X61" s="49"/>
      <c r="Y61" s="89"/>
      <c r="Z61" s="44"/>
      <c r="AA61" s="45"/>
      <c r="AB61" s="90"/>
      <c r="AC61" s="90"/>
      <c r="AD61" s="90"/>
      <c r="AE61" s="90"/>
      <c r="AF61" s="28"/>
      <c r="AG61" s="61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</row>
    <row r="62" ht="20.1" customHeight="1" spans="2:73" x14ac:dyDescent="0.25">
      <c r="B62" s="24"/>
      <c r="C62" s="68">
        <v>5</v>
      </c>
      <c r="D62" s="67"/>
      <c r="E62" s="53"/>
      <c r="F62" s="65"/>
      <c r="G62" s="65"/>
      <c r="H62" s="65"/>
      <c r="I62" s="65"/>
      <c r="J62" s="65"/>
      <c r="K62" s="65"/>
      <c r="L62" s="65"/>
      <c r="M62" s="65"/>
      <c r="N62" s="67"/>
      <c r="O62" s="53"/>
      <c r="P62" s="67"/>
      <c r="Q62" s="52"/>
      <c r="R62" s="53"/>
      <c r="S62" s="67"/>
      <c r="T62" s="52"/>
      <c r="U62" s="53"/>
      <c r="V62" s="88"/>
      <c r="W62" s="48"/>
      <c r="X62" s="49"/>
      <c r="Y62" s="89"/>
      <c r="Z62" s="44"/>
      <c r="AA62" s="45"/>
      <c r="AB62" s="90"/>
      <c r="AC62" s="90"/>
      <c r="AD62" s="90"/>
      <c r="AE62" s="90"/>
      <c r="AF62" s="28"/>
      <c r="AG62" s="61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</row>
    <row r="63" ht="20.1" customHeight="1" spans="2:73" x14ac:dyDescent="0.25">
      <c r="B63" s="24"/>
      <c r="C63" s="68">
        <v>6</v>
      </c>
      <c r="D63" s="67"/>
      <c r="E63" s="53"/>
      <c r="F63" s="65"/>
      <c r="G63" s="65"/>
      <c r="H63" s="65"/>
      <c r="I63" s="65"/>
      <c r="J63" s="65"/>
      <c r="K63" s="65"/>
      <c r="L63" s="65"/>
      <c r="M63" s="65"/>
      <c r="N63" s="67"/>
      <c r="O63" s="53"/>
      <c r="P63" s="67"/>
      <c r="Q63" s="52"/>
      <c r="R63" s="53"/>
      <c r="S63" s="67"/>
      <c r="T63" s="52"/>
      <c r="U63" s="53"/>
      <c r="V63" s="88"/>
      <c r="W63" s="48"/>
      <c r="X63" s="49"/>
      <c r="Y63" s="89"/>
      <c r="Z63" s="44"/>
      <c r="AA63" s="45"/>
      <c r="AB63" s="90"/>
      <c r="AC63" s="90"/>
      <c r="AD63" s="90"/>
      <c r="AE63" s="90"/>
      <c r="AF63" s="28"/>
      <c r="AG63" s="61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</row>
    <row r="64" ht="20.1" customHeight="1" spans="2:73" x14ac:dyDescent="0.25">
      <c r="B64" s="24"/>
      <c r="C64" s="68">
        <v>7</v>
      </c>
      <c r="D64" s="67"/>
      <c r="E64" s="53"/>
      <c r="F64" s="65"/>
      <c r="G64" s="65"/>
      <c r="H64" s="65"/>
      <c r="I64" s="65"/>
      <c r="J64" s="65"/>
      <c r="K64" s="65"/>
      <c r="L64" s="65"/>
      <c r="M64" s="65"/>
      <c r="N64" s="67"/>
      <c r="O64" s="53"/>
      <c r="P64" s="67"/>
      <c r="Q64" s="52"/>
      <c r="R64" s="53"/>
      <c r="S64" s="67"/>
      <c r="T64" s="52"/>
      <c r="U64" s="53"/>
      <c r="V64" s="88"/>
      <c r="W64" s="48"/>
      <c r="X64" s="49"/>
      <c r="Y64" s="89"/>
      <c r="Z64" s="44"/>
      <c r="AA64" s="45"/>
      <c r="AB64" s="90"/>
      <c r="AC64" s="90"/>
      <c r="AD64" s="90"/>
      <c r="AE64" s="90"/>
      <c r="AF64" s="28"/>
      <c r="AG64" s="61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</row>
    <row r="65" ht="20.1" customHeight="1" spans="2:73" x14ac:dyDescent="0.25">
      <c r="B65" s="24"/>
      <c r="C65" s="68">
        <v>8</v>
      </c>
      <c r="D65" s="67"/>
      <c r="E65" s="53"/>
      <c r="F65" s="65"/>
      <c r="G65" s="65"/>
      <c r="H65" s="65"/>
      <c r="I65" s="65"/>
      <c r="J65" s="65"/>
      <c r="K65" s="65"/>
      <c r="L65" s="65"/>
      <c r="M65" s="65"/>
      <c r="N65" s="67"/>
      <c r="O65" s="53"/>
      <c r="P65" s="67"/>
      <c r="Q65" s="52"/>
      <c r="R65" s="53"/>
      <c r="S65" s="67"/>
      <c r="T65" s="52"/>
      <c r="U65" s="53"/>
      <c r="V65" s="88"/>
      <c r="W65" s="48"/>
      <c r="X65" s="49"/>
      <c r="Y65" s="89"/>
      <c r="Z65" s="44"/>
      <c r="AA65" s="45"/>
      <c r="AB65" s="90"/>
      <c r="AC65" s="90"/>
      <c r="AD65" s="90"/>
      <c r="AE65" s="90"/>
      <c r="AF65" s="28"/>
      <c r="AG65" s="61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</row>
    <row r="66" ht="20.1" customHeight="1" spans="2:73" x14ac:dyDescent="0.25">
      <c r="B66" s="24"/>
      <c r="C66" s="68">
        <v>9</v>
      </c>
      <c r="D66" s="67"/>
      <c r="E66" s="53"/>
      <c r="F66" s="65"/>
      <c r="G66" s="65"/>
      <c r="H66" s="65"/>
      <c r="I66" s="65"/>
      <c r="J66" s="65"/>
      <c r="K66" s="65"/>
      <c r="L66" s="65"/>
      <c r="M66" s="65"/>
      <c r="N66" s="67"/>
      <c r="O66" s="53"/>
      <c r="P66" s="67"/>
      <c r="Q66" s="52"/>
      <c r="R66" s="53"/>
      <c r="S66" s="67"/>
      <c r="T66" s="52"/>
      <c r="U66" s="53"/>
      <c r="V66" s="88"/>
      <c r="W66" s="48"/>
      <c r="X66" s="49"/>
      <c r="Y66" s="89"/>
      <c r="Z66" s="44"/>
      <c r="AA66" s="45"/>
      <c r="AB66" s="90"/>
      <c r="AC66" s="90"/>
      <c r="AD66" s="90"/>
      <c r="AE66" s="90"/>
      <c r="AF66" s="28"/>
      <c r="AG66" s="61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</row>
    <row r="67" ht="20.1" customHeight="1" spans="2:73" x14ac:dyDescent="0.25">
      <c r="B67" s="24"/>
      <c r="C67" s="68">
        <v>10</v>
      </c>
      <c r="D67" s="67"/>
      <c r="E67" s="53"/>
      <c r="F67" s="65"/>
      <c r="G67" s="65"/>
      <c r="H67" s="65"/>
      <c r="I67" s="65"/>
      <c r="J67" s="65"/>
      <c r="K67" s="65"/>
      <c r="L67" s="65"/>
      <c r="M67" s="65"/>
      <c r="N67" s="67"/>
      <c r="O67" s="53"/>
      <c r="P67" s="67"/>
      <c r="Q67" s="52"/>
      <c r="R67" s="53"/>
      <c r="S67" s="67"/>
      <c r="T67" s="52"/>
      <c r="U67" s="53"/>
      <c r="V67" s="88"/>
      <c r="W67" s="48"/>
      <c r="X67" s="49"/>
      <c r="Y67" s="89"/>
      <c r="Z67" s="44"/>
      <c r="AA67" s="45"/>
      <c r="AB67" s="90"/>
      <c r="AC67" s="90"/>
      <c r="AD67" s="90"/>
      <c r="AE67" s="90"/>
      <c r="AF67" s="28"/>
      <c r="AG67" s="61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</row>
    <row r="68" ht="20.1" customHeight="1" spans="2:73" x14ac:dyDescent="0.25">
      <c r="B68" s="24"/>
      <c r="C68" s="69" t="s">
        <v>45</v>
      </c>
      <c r="D68" s="91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3"/>
      <c r="V68" s="94">
        <f>IFERROR(SUM(V58:X67),"")</f>
        <v>0</v>
      </c>
      <c r="W68" s="57"/>
      <c r="X68" s="58"/>
      <c r="Y68" s="95">
        <f>IFERROR(SUM(Y58:AA67),"")</f>
        <v>0</v>
      </c>
      <c r="Z68" s="55"/>
      <c r="AA68" s="56"/>
      <c r="AB68" s="96"/>
      <c r="AC68" s="97"/>
      <c r="AD68" s="97"/>
      <c r="AE68" s="98"/>
      <c r="AF68" s="28"/>
      <c r="AG68" s="61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</row>
    <row r="69" ht="15" customHeight="1" spans="2:73" x14ac:dyDescent="0.25">
      <c r="B69" s="24"/>
      <c r="C69" s="99" t="s">
        <v>63</v>
      </c>
      <c r="D69" s="30"/>
      <c r="E69" s="31"/>
      <c r="F69" s="32"/>
      <c r="G69" s="30"/>
      <c r="H69" s="33"/>
      <c r="I69" s="30"/>
      <c r="J69" s="33"/>
      <c r="K69" s="30"/>
      <c r="L69" s="33"/>
      <c r="M69" s="30"/>
      <c r="N69" s="33"/>
      <c r="O69" s="30"/>
      <c r="P69" s="33"/>
      <c r="Q69" s="30"/>
      <c r="R69" s="33"/>
      <c r="S69" s="30"/>
      <c r="T69" s="33"/>
      <c r="U69" s="30"/>
      <c r="V69" s="33"/>
      <c r="W69" s="30"/>
      <c r="X69" s="33"/>
      <c r="Y69" s="30"/>
      <c r="Z69" s="33"/>
      <c r="AA69" s="30"/>
      <c r="AB69" s="33"/>
      <c r="AC69" s="30"/>
      <c r="AD69" s="33"/>
      <c r="AE69" s="30"/>
      <c r="AF69" s="28"/>
      <c r="AG69" s="61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</row>
    <row r="70" ht="15" customHeight="1" spans="2:73" x14ac:dyDescent="0.25">
      <c r="B70" s="24"/>
      <c r="C70" s="100" t="s">
        <v>64</v>
      </c>
      <c r="D70" s="101"/>
      <c r="E70" s="31"/>
      <c r="F70" s="32"/>
      <c r="G70" s="30"/>
      <c r="H70" s="33"/>
      <c r="I70" s="30"/>
      <c r="J70" s="33"/>
      <c r="K70" s="30"/>
      <c r="L70" s="33"/>
      <c r="M70" s="30"/>
      <c r="N70" s="33"/>
      <c r="O70" s="30"/>
      <c r="P70" s="33"/>
      <c r="Q70" s="30"/>
      <c r="R70" s="33"/>
      <c r="S70" s="30"/>
      <c r="T70" s="33"/>
      <c r="U70" s="30"/>
      <c r="V70" s="33"/>
      <c r="W70" s="30"/>
      <c r="X70" s="33"/>
      <c r="Y70" s="30"/>
      <c r="Z70" s="33"/>
      <c r="AA70" s="30"/>
      <c r="AB70" s="33"/>
      <c r="AC70" s="30"/>
      <c r="AD70" s="33"/>
      <c r="AE70" s="30"/>
      <c r="AF70" s="28"/>
      <c r="AG70" s="61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</row>
    <row r="71" ht="15" customHeight="1" spans="2:73" x14ac:dyDescent="0.25">
      <c r="B71" s="24"/>
      <c r="C71" s="100" t="s">
        <v>65</v>
      </c>
      <c r="D71" s="102"/>
      <c r="E71" s="102"/>
      <c r="F71" s="102"/>
      <c r="G71" s="102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33"/>
      <c r="Y71" s="30"/>
      <c r="Z71" s="33"/>
      <c r="AA71" s="30"/>
      <c r="AB71" s="33"/>
      <c r="AC71" s="30"/>
      <c r="AD71" s="33"/>
      <c r="AE71" s="30"/>
      <c r="AF71" s="28"/>
      <c r="AG71" s="61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</row>
    <row r="72" ht="9.95" customHeight="1" spans="2:73" x14ac:dyDescent="0.25">
      <c r="B72" s="24"/>
      <c r="C72" s="100"/>
      <c r="D72" s="102"/>
      <c r="E72" s="102"/>
      <c r="F72" s="102"/>
      <c r="G72" s="102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33"/>
      <c r="Y72" s="30"/>
      <c r="Z72" s="33"/>
      <c r="AA72" s="30"/>
      <c r="AB72" s="33"/>
      <c r="AC72" s="30"/>
      <c r="AD72" s="33"/>
      <c r="AE72" s="30"/>
      <c r="AF72" s="28"/>
      <c r="AG72" s="61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</row>
    <row r="73" ht="15" customHeight="1" spans="2:73" x14ac:dyDescent="0.25">
      <c r="B73" s="24"/>
      <c r="C73" s="34" t="s">
        <v>66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28"/>
      <c r="AG73" s="61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</row>
    <row r="74" ht="30" customHeight="1" spans="2:73" x14ac:dyDescent="0.25">
      <c r="B74" s="24"/>
      <c r="C74" s="74" t="s">
        <v>48</v>
      </c>
      <c r="D74" s="75" t="s">
        <v>67</v>
      </c>
      <c r="E74" s="76"/>
      <c r="F74" s="104" t="s">
        <v>68</v>
      </c>
      <c r="G74" s="104"/>
      <c r="H74" s="104"/>
      <c r="I74" s="105" t="s">
        <v>69</v>
      </c>
      <c r="J74" s="105"/>
      <c r="K74" s="105"/>
      <c r="L74" s="106" t="s">
        <v>70</v>
      </c>
      <c r="M74" s="107"/>
      <c r="N74" s="105" t="s">
        <v>71</v>
      </c>
      <c r="O74" s="105"/>
      <c r="P74" s="105"/>
      <c r="Q74" s="105" t="s">
        <v>72</v>
      </c>
      <c r="R74" s="105"/>
      <c r="S74" s="105"/>
      <c r="T74" s="106" t="s">
        <v>73</v>
      </c>
      <c r="U74" s="107"/>
      <c r="V74" s="107"/>
      <c r="W74" s="108"/>
      <c r="X74" s="106" t="s">
        <v>74</v>
      </c>
      <c r="Y74" s="107"/>
      <c r="Z74" s="107"/>
      <c r="AA74" s="108"/>
      <c r="AB74" s="106" t="s">
        <v>75</v>
      </c>
      <c r="AC74" s="107"/>
      <c r="AD74" s="107"/>
      <c r="AE74" s="108"/>
      <c r="AF74" s="28"/>
      <c r="AG74" s="61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</row>
    <row r="75" ht="20.1" customHeight="1" spans="2:73" x14ac:dyDescent="0.25">
      <c r="B75" s="24"/>
      <c r="C75" s="68">
        <v>1</v>
      </c>
      <c r="D75" s="67"/>
      <c r="E75" s="53"/>
      <c r="F75" s="65"/>
      <c r="G75" s="65"/>
      <c r="H75" s="65"/>
      <c r="I75" s="65"/>
      <c r="J75" s="65"/>
      <c r="K75" s="65"/>
      <c r="L75" s="67"/>
      <c r="M75" s="53"/>
      <c r="N75" s="109"/>
      <c r="O75" s="109"/>
      <c r="P75" s="109"/>
      <c r="Q75" s="65"/>
      <c r="R75" s="65"/>
      <c r="S75" s="65"/>
      <c r="T75" s="89"/>
      <c r="U75" s="44"/>
      <c r="V75" s="44"/>
      <c r="W75" s="44"/>
      <c r="X75" s="88"/>
      <c r="Y75" s="48"/>
      <c r="Z75" s="48"/>
      <c r="AA75" s="48"/>
      <c r="AB75" s="110">
        <f>T75*X75</f>
        <v>0</v>
      </c>
      <c r="AC75" s="110"/>
      <c r="AD75" s="110"/>
      <c r="AE75" s="110"/>
      <c r="AF75" s="28"/>
      <c r="AG75" s="61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</row>
    <row r="76" ht="20.1" customHeight="1" spans="2:73" x14ac:dyDescent="0.25">
      <c r="B76" s="24"/>
      <c r="C76" s="68">
        <v>2</v>
      </c>
      <c r="D76" s="67"/>
      <c r="E76" s="53"/>
      <c r="F76" s="65"/>
      <c r="G76" s="65"/>
      <c r="H76" s="65"/>
      <c r="I76" s="65"/>
      <c r="J76" s="65"/>
      <c r="K76" s="65"/>
      <c r="L76" s="67"/>
      <c r="M76" s="53"/>
      <c r="N76" s="109"/>
      <c r="O76" s="109"/>
      <c r="P76" s="109"/>
      <c r="Q76" s="65"/>
      <c r="R76" s="65"/>
      <c r="S76" s="65"/>
      <c r="T76" s="89"/>
      <c r="U76" s="44"/>
      <c r="V76" s="44"/>
      <c r="W76" s="44"/>
      <c r="X76" s="88"/>
      <c r="Y76" s="48"/>
      <c r="Z76" s="48"/>
      <c r="AA76" s="48"/>
      <c r="AB76" s="110">
        <f t="shared" ref="AB76:AB77" si="0">T76*X76</f>
        <v>0</v>
      </c>
      <c r="AC76" s="110"/>
      <c r="AD76" s="110"/>
      <c r="AE76" s="110"/>
      <c r="AF76" s="28"/>
      <c r="AG76" s="61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</row>
    <row r="77" ht="20.1" customHeight="1" spans="2:73" x14ac:dyDescent="0.25">
      <c r="B77" s="24"/>
      <c r="C77" s="68">
        <v>3</v>
      </c>
      <c r="D77" s="67"/>
      <c r="E77" s="53"/>
      <c r="F77" s="65"/>
      <c r="G77" s="65"/>
      <c r="H77" s="65"/>
      <c r="I77" s="65"/>
      <c r="J77" s="65"/>
      <c r="K77" s="65"/>
      <c r="L77" s="67"/>
      <c r="M77" s="53"/>
      <c r="N77" s="109"/>
      <c r="O77" s="109"/>
      <c r="P77" s="109"/>
      <c r="Q77" s="65"/>
      <c r="R77" s="65"/>
      <c r="S77" s="65"/>
      <c r="T77" s="89"/>
      <c r="U77" s="44"/>
      <c r="V77" s="44"/>
      <c r="W77" s="44"/>
      <c r="X77" s="88"/>
      <c r="Y77" s="48"/>
      <c r="Z77" s="48"/>
      <c r="AA77" s="48"/>
      <c r="AB77" s="110">
        <f t="shared" si="0"/>
        <v>0</v>
      </c>
      <c r="AC77" s="110"/>
      <c r="AD77" s="110"/>
      <c r="AE77" s="110"/>
      <c r="AF77" s="28"/>
      <c r="AG77" s="61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</row>
    <row r="78" ht="20.1" customHeight="1" spans="2:73" x14ac:dyDescent="0.25">
      <c r="B78" s="24"/>
      <c r="C78" s="69" t="s">
        <v>45</v>
      </c>
      <c r="D78" s="91"/>
      <c r="E78" s="92"/>
      <c r="F78" s="92"/>
      <c r="G78" s="92"/>
      <c r="H78" s="92"/>
      <c r="I78" s="92"/>
      <c r="J78" s="92"/>
      <c r="K78" s="92"/>
      <c r="L78" s="92"/>
      <c r="M78" s="93"/>
      <c r="N78" s="111">
        <f>IFERROR(SUM(N75:P77),"")</f>
        <v>0</v>
      </c>
      <c r="O78" s="111"/>
      <c r="P78" s="111"/>
      <c r="Q78" s="59"/>
      <c r="R78" s="59"/>
      <c r="S78" s="59"/>
      <c r="T78" s="95">
        <f>IFERROR(SUM(T75:W77),"")</f>
        <v>0</v>
      </c>
      <c r="U78" s="55"/>
      <c r="V78" s="55"/>
      <c r="W78" s="55"/>
      <c r="X78" s="91"/>
      <c r="Y78" s="92"/>
      <c r="Z78" s="92"/>
      <c r="AA78" s="92"/>
      <c r="AB78" s="73">
        <f>IFERROR(SUM(AB75:AE77),"")</f>
        <v>0</v>
      </c>
      <c r="AC78" s="73"/>
      <c r="AD78" s="73"/>
      <c r="AE78" s="73"/>
      <c r="AF78" s="28"/>
      <c r="AG78" s="61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</row>
    <row r="79" ht="9.95" customHeight="1" spans="2:73" x14ac:dyDescent="0.25">
      <c r="B79" s="24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28"/>
      <c r="AG79" s="61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</row>
    <row r="80" ht="15" customHeight="1" spans="2:73" x14ac:dyDescent="0.25">
      <c r="B80" s="24"/>
      <c r="C80" s="34" t="s">
        <v>76</v>
      </c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28"/>
      <c r="AG80" s="61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</row>
    <row r="81" ht="20.1" customHeight="1" spans="2:73" x14ac:dyDescent="0.25">
      <c r="B81" s="24"/>
      <c r="C81" s="113" t="s">
        <v>77</v>
      </c>
      <c r="D81" s="114"/>
      <c r="E81" s="114"/>
      <c r="F81" s="114"/>
      <c r="G81" s="114"/>
      <c r="H81" s="43" t="s">
        <v>78</v>
      </c>
      <c r="I81" s="43"/>
      <c r="J81" s="43"/>
      <c r="K81" s="43"/>
      <c r="L81" s="43"/>
      <c r="M81" s="43"/>
      <c r="N81" s="43"/>
      <c r="O81" s="43" t="s">
        <v>79</v>
      </c>
      <c r="P81" s="43"/>
      <c r="Q81" s="40" t="s">
        <v>80</v>
      </c>
      <c r="R81" s="41"/>
      <c r="S81" s="41"/>
      <c r="T81" s="42"/>
      <c r="U81" s="43" t="s">
        <v>81</v>
      </c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28"/>
      <c r="AG81" s="61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</row>
    <row r="82" ht="20.1" customHeight="1" spans="2:73" x14ac:dyDescent="0.25">
      <c r="B82" s="24"/>
      <c r="C82" s="115" t="s">
        <v>82</v>
      </c>
      <c r="D82" s="116"/>
      <c r="E82" s="116"/>
      <c r="F82" s="116"/>
      <c r="G82" s="116"/>
      <c r="H82" s="65"/>
      <c r="I82" s="65"/>
      <c r="J82" s="65"/>
      <c r="K82" s="65"/>
      <c r="L82" s="65"/>
      <c r="M82" s="65"/>
      <c r="N82" s="65"/>
      <c r="O82" s="68"/>
      <c r="P82" s="68"/>
      <c r="Q82" s="117"/>
      <c r="R82" s="118"/>
      <c r="S82" s="118"/>
      <c r="T82" s="119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28"/>
      <c r="AG82" s="61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</row>
    <row r="83" ht="20.1" customHeight="1" spans="2:73" x14ac:dyDescent="0.25">
      <c r="B83" s="24"/>
      <c r="C83" s="121" t="s">
        <v>83</v>
      </c>
      <c r="D83" s="122"/>
      <c r="E83" s="122"/>
      <c r="F83" s="122"/>
      <c r="G83" s="122"/>
      <c r="H83" s="65"/>
      <c r="I83" s="65"/>
      <c r="J83" s="65"/>
      <c r="K83" s="65"/>
      <c r="L83" s="65"/>
      <c r="M83" s="65"/>
      <c r="N83" s="65"/>
      <c r="O83" s="68"/>
      <c r="P83" s="68"/>
      <c r="Q83" s="117"/>
      <c r="R83" s="118"/>
      <c r="S83" s="118"/>
      <c r="T83" s="119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28"/>
      <c r="AG83" s="61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</row>
    <row r="84" ht="20.1" customHeight="1" spans="2:73" x14ac:dyDescent="0.25">
      <c r="B84" s="24"/>
      <c r="C84" s="121" t="s">
        <v>84</v>
      </c>
      <c r="D84" s="122"/>
      <c r="E84" s="122"/>
      <c r="F84" s="122"/>
      <c r="G84" s="122"/>
      <c r="H84" s="65"/>
      <c r="I84" s="65"/>
      <c r="J84" s="65"/>
      <c r="K84" s="65"/>
      <c r="L84" s="65"/>
      <c r="M84" s="65"/>
      <c r="N84" s="65"/>
      <c r="O84" s="68"/>
      <c r="P84" s="68"/>
      <c r="Q84" s="117"/>
      <c r="R84" s="118"/>
      <c r="S84" s="118"/>
      <c r="T84" s="119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28"/>
      <c r="AG84" s="61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</row>
    <row r="85" ht="20.1" customHeight="1" spans="2:73" x14ac:dyDescent="0.25">
      <c r="B85" s="24"/>
      <c r="C85" s="121" t="s">
        <v>85</v>
      </c>
      <c r="D85" s="122"/>
      <c r="E85" s="122"/>
      <c r="F85" s="122"/>
      <c r="G85" s="122"/>
      <c r="H85" s="123"/>
      <c r="I85" s="123"/>
      <c r="J85" s="123"/>
      <c r="K85" s="123"/>
      <c r="L85" s="123"/>
      <c r="M85" s="123"/>
      <c r="N85" s="123"/>
      <c r="O85" s="124" t="s">
        <v>86</v>
      </c>
      <c r="P85" s="124"/>
      <c r="Q85" s="117"/>
      <c r="R85" s="118"/>
      <c r="S85" s="118"/>
      <c r="T85" s="119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28"/>
      <c r="AG85" s="61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</row>
    <row r="86" ht="20.1" customHeight="1" spans="2:73" x14ac:dyDescent="0.25">
      <c r="B86" s="24"/>
      <c r="C86" s="121" t="s">
        <v>87</v>
      </c>
      <c r="D86" s="122"/>
      <c r="E86" s="122"/>
      <c r="F86" s="122"/>
      <c r="G86" s="122"/>
      <c r="H86" s="73">
        <f>H85*H94</f>
        <v>0</v>
      </c>
      <c r="I86" s="73"/>
      <c r="J86" s="73"/>
      <c r="K86" s="73"/>
      <c r="L86" s="73"/>
      <c r="M86" s="73"/>
      <c r="N86" s="73"/>
      <c r="O86" s="124" t="s">
        <v>88</v>
      </c>
      <c r="P86" s="124"/>
      <c r="Q86" s="117"/>
      <c r="R86" s="118"/>
      <c r="S86" s="118"/>
      <c r="T86" s="119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28"/>
      <c r="AG86" s="61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</row>
    <row r="87" ht="20.1" customHeight="1" spans="2:73" x14ac:dyDescent="0.25">
      <c r="B87" s="24"/>
      <c r="C87" s="121" t="s">
        <v>89</v>
      </c>
      <c r="D87" s="122"/>
      <c r="E87" s="122"/>
      <c r="F87" s="122"/>
      <c r="G87" s="122"/>
      <c r="H87" s="65"/>
      <c r="I87" s="65"/>
      <c r="J87" s="65"/>
      <c r="K87" s="65"/>
      <c r="L87" s="65"/>
      <c r="M87" s="65"/>
      <c r="N87" s="65"/>
      <c r="O87" s="124" t="s">
        <v>90</v>
      </c>
      <c r="P87" s="124"/>
      <c r="Q87" s="117"/>
      <c r="R87" s="118"/>
      <c r="S87" s="118"/>
      <c r="T87" s="119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28"/>
      <c r="AG87" s="61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</row>
    <row r="88" ht="20.1" customHeight="1" spans="2:73" x14ac:dyDescent="0.25">
      <c r="B88" s="24"/>
      <c r="C88" s="121" t="s">
        <v>91</v>
      </c>
      <c r="D88" s="122"/>
      <c r="E88" s="122"/>
      <c r="F88" s="122"/>
      <c r="G88" s="122"/>
      <c r="H88" s="65"/>
      <c r="I88" s="65"/>
      <c r="J88" s="65"/>
      <c r="K88" s="65"/>
      <c r="L88" s="65"/>
      <c r="M88" s="65"/>
      <c r="N88" s="65"/>
      <c r="O88" s="124" t="s">
        <v>92</v>
      </c>
      <c r="P88" s="124"/>
      <c r="Q88" s="117"/>
      <c r="R88" s="118"/>
      <c r="S88" s="118"/>
      <c r="T88" s="119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28"/>
      <c r="AG88" s="61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</row>
    <row r="89" ht="20.1" customHeight="1" spans="2:73" x14ac:dyDescent="0.25">
      <c r="B89" s="24"/>
      <c r="C89" s="121" t="s">
        <v>93</v>
      </c>
      <c r="D89" s="122"/>
      <c r="E89" s="122"/>
      <c r="F89" s="122"/>
      <c r="G89" s="122"/>
      <c r="H89" s="65"/>
      <c r="I89" s="65"/>
      <c r="J89" s="65"/>
      <c r="K89" s="65"/>
      <c r="L89" s="65"/>
      <c r="M89" s="65"/>
      <c r="N89" s="65"/>
      <c r="O89" s="124" t="s">
        <v>94</v>
      </c>
      <c r="P89" s="124"/>
      <c r="Q89" s="117"/>
      <c r="R89" s="118"/>
      <c r="S89" s="118"/>
      <c r="T89" s="119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28"/>
      <c r="AG89" s="61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</row>
    <row r="90" ht="20.1" customHeight="1" spans="2:73" x14ac:dyDescent="0.25">
      <c r="B90" s="24"/>
      <c r="C90" s="121" t="s">
        <v>95</v>
      </c>
      <c r="D90" s="122"/>
      <c r="E90" s="122"/>
      <c r="F90" s="122"/>
      <c r="G90" s="122"/>
      <c r="H90" s="65"/>
      <c r="I90" s="65"/>
      <c r="J90" s="65"/>
      <c r="K90" s="65"/>
      <c r="L90" s="65"/>
      <c r="M90" s="65"/>
      <c r="N90" s="65"/>
      <c r="O90" s="124" t="s">
        <v>96</v>
      </c>
      <c r="P90" s="124"/>
      <c r="Q90" s="117"/>
      <c r="R90" s="118"/>
      <c r="S90" s="118"/>
      <c r="T90" s="119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28"/>
      <c r="AG90" s="61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</row>
    <row r="91" ht="20.1" customHeight="1" spans="2:73" x14ac:dyDescent="0.25">
      <c r="B91" s="24"/>
      <c r="C91" s="121" t="s">
        <v>97</v>
      </c>
      <c r="D91" s="122"/>
      <c r="E91" s="122"/>
      <c r="F91" s="122"/>
      <c r="G91" s="122"/>
      <c r="H91" s="65"/>
      <c r="I91" s="65"/>
      <c r="J91" s="65"/>
      <c r="K91" s="65"/>
      <c r="L91" s="65"/>
      <c r="M91" s="65"/>
      <c r="N91" s="65"/>
      <c r="O91" s="68"/>
      <c r="P91" s="68"/>
      <c r="Q91" s="117"/>
      <c r="R91" s="118"/>
      <c r="S91" s="118"/>
      <c r="T91" s="119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28"/>
      <c r="AG91" s="61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</row>
    <row r="92" ht="20.1" customHeight="1" spans="2:73" x14ac:dyDescent="0.25">
      <c r="B92" s="24"/>
      <c r="C92" s="121" t="s">
        <v>98</v>
      </c>
      <c r="D92" s="122"/>
      <c r="E92" s="122"/>
      <c r="F92" s="122"/>
      <c r="G92" s="122"/>
      <c r="H92" s="65"/>
      <c r="I92" s="65"/>
      <c r="J92" s="65"/>
      <c r="K92" s="65"/>
      <c r="L92" s="65"/>
      <c r="M92" s="65"/>
      <c r="N92" s="65"/>
      <c r="O92" s="68"/>
      <c r="P92" s="68"/>
      <c r="Q92" s="117"/>
      <c r="R92" s="118"/>
      <c r="S92" s="118"/>
      <c r="T92" s="119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28"/>
      <c r="AG92" s="61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</row>
    <row r="93" ht="20.1" customHeight="1" spans="2:73" x14ac:dyDescent="0.25">
      <c r="B93" s="24"/>
      <c r="C93" s="121" t="s">
        <v>99</v>
      </c>
      <c r="D93" s="122"/>
      <c r="E93" s="122"/>
      <c r="F93" s="122"/>
      <c r="G93" s="122"/>
      <c r="H93" s="65"/>
      <c r="I93" s="65"/>
      <c r="J93" s="65"/>
      <c r="K93" s="65"/>
      <c r="L93" s="65"/>
      <c r="M93" s="65"/>
      <c r="N93" s="65"/>
      <c r="O93" s="68"/>
      <c r="P93" s="68"/>
      <c r="Q93" s="117"/>
      <c r="R93" s="118"/>
      <c r="S93" s="118"/>
      <c r="T93" s="119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28"/>
      <c r="AG93" s="61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</row>
    <row r="94" ht="20.1" customHeight="1" spans="2:73" x14ac:dyDescent="0.25">
      <c r="B94" s="24"/>
      <c r="C94" s="121" t="s">
        <v>100</v>
      </c>
      <c r="D94" s="122"/>
      <c r="E94" s="122"/>
      <c r="F94" s="122"/>
      <c r="G94" s="122"/>
      <c r="H94" s="123"/>
      <c r="I94" s="123"/>
      <c r="J94" s="123"/>
      <c r="K94" s="123"/>
      <c r="L94" s="123"/>
      <c r="M94" s="123"/>
      <c r="N94" s="123"/>
      <c r="O94" s="68"/>
      <c r="P94" s="68"/>
      <c r="Q94" s="117"/>
      <c r="R94" s="118"/>
      <c r="S94" s="118"/>
      <c r="T94" s="119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28"/>
      <c r="AG94" s="61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</row>
    <row r="95" ht="20.1" customHeight="1" spans="2:73" x14ac:dyDescent="0.25">
      <c r="B95" s="24"/>
      <c r="C95" s="100" t="s">
        <v>101</v>
      </c>
      <c r="D95" s="102"/>
      <c r="E95" s="102"/>
      <c r="F95" s="102"/>
      <c r="G95" s="102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25"/>
      <c r="Y95" s="125"/>
      <c r="Z95" s="125"/>
      <c r="AA95" s="125"/>
      <c r="AB95" s="125"/>
      <c r="AC95" s="125"/>
      <c r="AD95" s="125"/>
      <c r="AE95" s="125"/>
      <c r="AF95" s="28"/>
      <c r="AG95" s="61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</row>
    <row r="96" ht="15" customHeight="1" spans="2:73" x14ac:dyDescent="0.25">
      <c r="B96" s="24"/>
      <c r="C96" s="100" t="s">
        <v>102</v>
      </c>
      <c r="D96" s="102"/>
      <c r="E96" s="102"/>
      <c r="F96" s="102"/>
      <c r="G96" s="102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25"/>
      <c r="Y96" s="125"/>
      <c r="Z96" s="125"/>
      <c r="AA96" s="125"/>
      <c r="AB96" s="125"/>
      <c r="AC96" s="125"/>
      <c r="AD96" s="125"/>
      <c r="AE96" s="125"/>
      <c r="AF96" s="28"/>
      <c r="AG96" s="61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</row>
    <row r="97" ht="15" customHeight="1" spans="2:73" x14ac:dyDescent="0.25">
      <c r="B97" s="24"/>
      <c r="C97" s="126" t="s">
        <v>103</v>
      </c>
      <c r="D97" s="102"/>
      <c r="E97" s="102"/>
      <c r="F97" s="102"/>
      <c r="G97" s="102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25"/>
      <c r="Y97" s="125"/>
      <c r="Z97" s="125"/>
      <c r="AA97" s="125"/>
      <c r="AB97" s="125"/>
      <c r="AC97" s="125"/>
      <c r="AD97" s="125"/>
      <c r="AE97" s="125"/>
      <c r="AF97" s="28"/>
      <c r="AG97" s="61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</row>
    <row r="98" ht="9.95" customHeight="1" spans="2:73" x14ac:dyDescent="0.25">
      <c r="B98" s="24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28"/>
      <c r="AG98" s="61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</row>
    <row r="99" ht="9.95" customHeight="1" spans="2:73" x14ac:dyDescent="0.25"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</row>
    <row r="100" spans="2:73" x14ac:dyDescent="0.25"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</row>
    <row r="101" spans="2:73" x14ac:dyDescent="0.25"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</row>
    <row r="102" spans="2:73" x14ac:dyDescent="0.25"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</row>
    <row r="103" spans="2:73" x14ac:dyDescent="0.25"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</row>
    <row r="104" spans="2:73" x14ac:dyDescent="0.25"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</row>
    <row r="105" spans="2:73" x14ac:dyDescent="0.25"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</row>
    <row r="106" spans="2:73" x14ac:dyDescent="0.25"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</row>
    <row r="107" spans="2:73" x14ac:dyDescent="0.25"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</row>
    <row r="108" ht="15.6" customHeight="1" spans="2:73" x14ac:dyDescent="0.25">
      <c r="B108" s="101"/>
      <c r="C108" s="101"/>
      <c r="D108" s="129"/>
      <c r="E108" s="1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01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</row>
    <row r="109" ht="15.6" customHeight="1" spans="2:73" x14ac:dyDescent="0.25"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30"/>
      <c r="N109" s="131"/>
      <c r="O109" s="30"/>
      <c r="P109" s="30"/>
      <c r="Q109" s="30"/>
      <c r="R109" s="30"/>
      <c r="S109" s="30"/>
      <c r="T109" s="30"/>
      <c r="U109" s="30"/>
      <c r="V109" s="30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01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</row>
    <row r="110" spans="2:73" x14ac:dyDescent="0.25">
      <c r="B110" s="101"/>
      <c r="C110" s="101"/>
      <c r="D110" s="133"/>
      <c r="E110" s="133"/>
      <c r="F110" s="133"/>
      <c r="G110" s="133"/>
      <c r="H110" s="133"/>
      <c r="I110" s="133"/>
      <c r="J110" s="133"/>
      <c r="K110" s="133"/>
      <c r="L110" s="133"/>
      <c r="M110" s="30"/>
      <c r="N110" s="134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01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</row>
    <row r="111" spans="2:73" x14ac:dyDescent="0.25">
      <c r="B111" s="101"/>
      <c r="C111" s="101"/>
      <c r="D111" s="135"/>
      <c r="E111" s="135"/>
      <c r="F111" s="135"/>
      <c r="G111" s="135"/>
      <c r="H111" s="135"/>
      <c r="I111" s="135"/>
      <c r="J111" s="135"/>
      <c r="K111" s="135"/>
      <c r="L111" s="135"/>
      <c r="M111" s="133"/>
      <c r="N111" s="134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101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</row>
    <row r="112" spans="2:73" x14ac:dyDescent="0.25">
      <c r="B112" s="101"/>
      <c r="C112" s="101"/>
      <c r="D112" s="134"/>
      <c r="E112" s="136"/>
      <c r="F112" s="135"/>
      <c r="G112" s="135"/>
      <c r="H112" s="135"/>
      <c r="I112" s="135"/>
      <c r="J112" s="136"/>
      <c r="K112" s="136"/>
      <c r="L112" s="136"/>
      <c r="M112" s="30"/>
      <c r="N112" s="134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101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</row>
    <row r="113" spans="2:73" x14ac:dyDescent="0.25">
      <c r="B113" s="101"/>
      <c r="C113" s="101"/>
      <c r="D113" s="132"/>
      <c r="E113" s="132"/>
      <c r="F113" s="136"/>
      <c r="G113" s="136"/>
      <c r="H113" s="136"/>
      <c r="I113" s="136"/>
      <c r="J113" s="30"/>
      <c r="K113" s="30"/>
      <c r="L113" s="30"/>
      <c r="M113" s="30"/>
      <c r="N113" s="134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101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</row>
    <row r="114" spans="2:73" x14ac:dyDescent="0.25">
      <c r="B114" s="101"/>
      <c r="C114" s="101"/>
      <c r="D114" s="134"/>
      <c r="E114" s="137"/>
      <c r="F114" s="132"/>
      <c r="G114" s="132"/>
      <c r="H114" s="132"/>
      <c r="I114" s="132"/>
      <c r="J114" s="30"/>
      <c r="K114" s="30"/>
      <c r="L114" s="30"/>
      <c r="M114" s="30"/>
      <c r="N114" s="134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101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</row>
    <row r="115" spans="2:73" x14ac:dyDescent="0.25">
      <c r="B115" s="101"/>
      <c r="C115" s="101"/>
      <c r="D115" s="30"/>
      <c r="E115" s="30"/>
      <c r="F115" s="137"/>
      <c r="G115" s="137"/>
      <c r="H115" s="137"/>
      <c r="I115" s="137"/>
      <c r="J115" s="30"/>
      <c r="K115" s="30"/>
      <c r="L115" s="30"/>
      <c r="M115" s="30"/>
      <c r="N115" s="138"/>
      <c r="O115" s="138"/>
      <c r="P115" s="138"/>
      <c r="Q115" s="30"/>
      <c r="R115" s="101"/>
      <c r="S115" s="30"/>
      <c r="T115" s="139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101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</row>
    <row r="116" spans="2:73" x14ac:dyDescent="0.25">
      <c r="B116" s="101"/>
      <c r="C116" s="101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138"/>
      <c r="O116" s="138"/>
      <c r="P116" s="138"/>
      <c r="Q116" s="137"/>
      <c r="R116" s="30"/>
      <c r="S116" s="137"/>
      <c r="T116" s="139"/>
      <c r="U116" s="140"/>
      <c r="V116" s="140"/>
      <c r="W116" s="140"/>
      <c r="X116" s="140"/>
      <c r="Y116" s="140"/>
      <c r="Z116" s="30"/>
      <c r="AA116" s="140"/>
      <c r="AB116" s="140"/>
      <c r="AC116" s="140"/>
      <c r="AD116" s="140"/>
      <c r="AE116" s="140"/>
      <c r="AF116" s="101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</row>
    <row r="117" spans="2:73" x14ac:dyDescent="0.25">
      <c r="B117" s="101"/>
      <c r="C117" s="101"/>
      <c r="D117" s="141"/>
      <c r="E117" s="135"/>
      <c r="F117" s="30"/>
      <c r="G117" s="30"/>
      <c r="H117" s="30"/>
      <c r="I117" s="30"/>
      <c r="J117" s="135"/>
      <c r="K117" s="135"/>
      <c r="L117" s="135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101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</row>
    <row r="118" spans="2:73" x14ac:dyDescent="0.25">
      <c r="B118" s="101"/>
      <c r="C118" s="101"/>
      <c r="D118" s="30"/>
      <c r="E118" s="30"/>
      <c r="F118" s="135"/>
      <c r="G118" s="135"/>
      <c r="H118" s="135"/>
      <c r="I118" s="135"/>
      <c r="J118" s="30"/>
      <c r="K118" s="30"/>
      <c r="L118" s="30"/>
      <c r="M118" s="30"/>
      <c r="N118" s="134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135"/>
      <c r="AB118" s="135"/>
      <c r="AC118" s="142"/>
      <c r="AD118" s="142"/>
      <c r="AE118" s="142"/>
      <c r="AF118" s="101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</row>
    <row r="119" spans="2:73" x14ac:dyDescent="0.25">
      <c r="B119" s="101"/>
      <c r="C119" s="101"/>
      <c r="D119" s="30"/>
      <c r="E119" s="30"/>
      <c r="F119" s="135"/>
      <c r="G119" s="135"/>
      <c r="H119" s="135"/>
      <c r="I119" s="135"/>
      <c r="J119" s="30"/>
      <c r="K119" s="30"/>
      <c r="L119" s="30"/>
      <c r="M119" s="30"/>
      <c r="N119" s="134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135"/>
      <c r="AB119" s="135"/>
      <c r="AC119" s="142"/>
      <c r="AD119" s="142"/>
      <c r="AE119" s="142"/>
      <c r="AF119" s="101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</row>
    <row r="120" spans="2:73" x14ac:dyDescent="0.25">
      <c r="B120" s="101"/>
      <c r="C120" s="101"/>
      <c r="D120" s="30"/>
      <c r="E120" s="30"/>
      <c r="F120" s="135"/>
      <c r="G120" s="135"/>
      <c r="H120" s="135"/>
      <c r="I120" s="135"/>
      <c r="J120" s="30"/>
      <c r="K120" s="30"/>
      <c r="L120" s="30"/>
      <c r="M120" s="30"/>
      <c r="N120" s="134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135"/>
      <c r="AB120" s="135"/>
      <c r="AC120" s="142"/>
      <c r="AD120" s="142"/>
      <c r="AE120" s="142"/>
      <c r="AF120" s="101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</row>
    <row r="121" spans="2:73" x14ac:dyDescent="0.25"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</row>
    <row r="122" spans="2:73" x14ac:dyDescent="0.25"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</row>
    <row r="123" spans="2:73" x14ac:dyDescent="0.25"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</row>
    <row r="124" spans="2:73" x14ac:dyDescent="0.25"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</row>
    <row r="125" spans="2:73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</row>
    <row r="126" spans="2:73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</row>
    <row r="127" spans="2:73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</row>
    <row r="128" spans="2:73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</row>
    <row r="129" spans="2:73" x14ac:dyDescent="0.25">
      <c r="B129" s="101"/>
      <c r="AF129" s="101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</row>
    <row r="130" spans="2:73" x14ac:dyDescent="0.25">
      <c r="B130" s="101"/>
      <c r="AF130" s="101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</row>
    <row r="131" spans="2:73" x14ac:dyDescent="0.25">
      <c r="B131" s="101"/>
      <c r="AF131" s="101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</row>
    <row r="132" spans="2:73" x14ac:dyDescent="0.25">
      <c r="B132" s="101"/>
      <c r="AF132" s="101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</row>
    <row r="133" spans="2:73" x14ac:dyDescent="0.25">
      <c r="B133" s="101"/>
      <c r="AF133" s="101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</row>
    <row r="134" spans="2:73" x14ac:dyDescent="0.25">
      <c r="B134" s="101"/>
      <c r="AF134" s="101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</row>
    <row r="135" spans="2:73" x14ac:dyDescent="0.25">
      <c r="B135" s="101"/>
      <c r="AF135" s="101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</row>
    <row r="136" spans="2:73" x14ac:dyDescent="0.25">
      <c r="B136" s="101"/>
      <c r="AF136" s="101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</row>
    <row r="137" spans="2:73" x14ac:dyDescent="0.25">
      <c r="B137" s="101"/>
      <c r="AF137" s="101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</row>
    <row r="138" spans="2:73" x14ac:dyDescent="0.25">
      <c r="B138" s="101"/>
      <c r="AF138" s="101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</row>
    <row r="139" spans="2:73" x14ac:dyDescent="0.25">
      <c r="B139" s="101"/>
      <c r="AF139" s="101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</row>
    <row r="140" spans="2:73" x14ac:dyDescent="0.25">
      <c r="B140" s="101"/>
      <c r="AF140" s="101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</row>
    <row r="141" spans="2:73" x14ac:dyDescent="0.25">
      <c r="B141" s="101"/>
      <c r="AF141" s="101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</row>
    <row r="142" spans="2:73" x14ac:dyDescent="0.25">
      <c r="B142" s="101"/>
      <c r="AF142" s="101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</row>
    <row r="143" spans="34:73" x14ac:dyDescent="0.25"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</row>
    <row r="144" spans="34:73" x14ac:dyDescent="0.25"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</row>
    <row r="145" spans="34:73" x14ac:dyDescent="0.25"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</row>
    <row r="146" spans="34:73" x14ac:dyDescent="0.25"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</row>
    <row r="147" spans="34:73" x14ac:dyDescent="0.25"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</row>
    <row r="148" spans="34:73" x14ac:dyDescent="0.25"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</row>
    <row r="149" spans="34:73" x14ac:dyDescent="0.25"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</row>
    <row r="150" spans="34:73" x14ac:dyDescent="0.25"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</row>
    <row r="151" spans="34:73" x14ac:dyDescent="0.25"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</row>
    <row r="152" spans="34:73" x14ac:dyDescent="0.25"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</row>
    <row r="153" spans="34:73" x14ac:dyDescent="0.25"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</row>
    <row r="154" spans="34:73" x14ac:dyDescent="0.25"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</row>
    <row r="155" spans="34:73" x14ac:dyDescent="0.25"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</row>
    <row r="156" spans="34:73" x14ac:dyDescent="0.25"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</row>
    <row r="157" spans="34:73" x14ac:dyDescent="0.25"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</row>
    <row r="158" spans="34:73" x14ac:dyDescent="0.25"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</row>
    <row r="159" spans="34:73" x14ac:dyDescent="0.25"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</row>
    <row r="160" spans="34:73" x14ac:dyDescent="0.25"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</row>
    <row r="161" spans="34:73" x14ac:dyDescent="0.25"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</row>
    <row r="162" spans="34:73" x14ac:dyDescent="0.25"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</row>
    <row r="163" spans="34:73" x14ac:dyDescent="0.25"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</row>
    <row r="164" spans="34:73" x14ac:dyDescent="0.25"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</row>
    <row r="165" spans="34:73" x14ac:dyDescent="0.25"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</row>
    <row r="166" spans="34:73" x14ac:dyDescent="0.25"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</row>
    <row r="167" spans="34:73" x14ac:dyDescent="0.25"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</row>
    <row r="168" spans="34:73" x14ac:dyDescent="0.25"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</row>
    <row r="169" spans="34:73" x14ac:dyDescent="0.25"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</row>
    <row r="170" spans="34:73" x14ac:dyDescent="0.25"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</row>
    <row r="171" spans="34:73" x14ac:dyDescent="0.25"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</row>
    <row r="172" spans="34:73" x14ac:dyDescent="0.25"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</row>
    <row r="173" spans="34:73" x14ac:dyDescent="0.25"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</row>
    <row r="174" spans="34:73" x14ac:dyDescent="0.25"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</row>
    <row r="175" spans="34:73" x14ac:dyDescent="0.25"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</row>
    <row r="176" spans="34:73" x14ac:dyDescent="0.25"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</row>
    <row r="177" spans="34:73" x14ac:dyDescent="0.25"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</row>
    <row r="178" spans="34:73" x14ac:dyDescent="0.25"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</row>
    <row r="179" spans="34:73" x14ac:dyDescent="0.25"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</row>
    <row r="180" spans="34:73" x14ac:dyDescent="0.25"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</row>
    <row r="181" spans="34:73" x14ac:dyDescent="0.25"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</row>
    <row r="182" spans="34:73" x14ac:dyDescent="0.25"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</row>
    <row r="183" spans="34:73" x14ac:dyDescent="0.25"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</row>
    <row r="184" spans="34:73" x14ac:dyDescent="0.25"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</row>
    <row r="185" spans="34:73" x14ac:dyDescent="0.25"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</row>
    <row r="186" spans="34:73" x14ac:dyDescent="0.25"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</row>
    <row r="187" spans="34:73" x14ac:dyDescent="0.25"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</row>
    <row r="188" spans="34:73" x14ac:dyDescent="0.25"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</row>
    <row r="189" spans="34:73" x14ac:dyDescent="0.25"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</row>
    <row r="190" spans="34:73" x14ac:dyDescent="0.25"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</row>
    <row r="191" spans="34:73" x14ac:dyDescent="0.25"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</row>
    <row r="192" spans="34:73" x14ac:dyDescent="0.25"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</row>
    <row r="193" spans="34:73" x14ac:dyDescent="0.25"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</row>
    <row r="194" spans="34:73" x14ac:dyDescent="0.25"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</row>
    <row r="195" spans="34:73" x14ac:dyDescent="0.25"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</row>
    <row r="196" spans="34:73" x14ac:dyDescent="0.25"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</row>
    <row r="197" spans="34:73" x14ac:dyDescent="0.25"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</row>
    <row r="198" spans="34:73" x14ac:dyDescent="0.25"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</row>
    <row r="199" spans="34:73" x14ac:dyDescent="0.25"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</row>
    <row r="200" spans="34:73" x14ac:dyDescent="0.25"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</row>
    <row r="201" spans="34:73" x14ac:dyDescent="0.25"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</row>
    <row r="202" spans="34:73" x14ac:dyDescent="0.25"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</row>
    <row r="203" spans="34:73" x14ac:dyDescent="0.25"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</row>
    <row r="204" spans="34:73" x14ac:dyDescent="0.25"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</row>
    <row r="205" spans="34:73" x14ac:dyDescent="0.25"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</row>
    <row r="206" spans="34:73" x14ac:dyDescent="0.25"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</row>
    <row r="207" spans="34:73" x14ac:dyDescent="0.25"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</row>
    <row r="208" spans="34:73" x14ac:dyDescent="0.25"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</row>
    <row r="209" spans="34:73" x14ac:dyDescent="0.25"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</row>
    <row r="210" spans="34:73" x14ac:dyDescent="0.25"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</row>
    <row r="211" spans="34:73" x14ac:dyDescent="0.25"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</row>
    <row r="212" spans="34:73" x14ac:dyDescent="0.25"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</row>
    <row r="213" spans="34:73" x14ac:dyDescent="0.25"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</row>
    <row r="214" spans="34:73" x14ac:dyDescent="0.25"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</row>
    <row r="215" spans="34:73" x14ac:dyDescent="0.25"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</row>
    <row r="216" spans="34:73" x14ac:dyDescent="0.25"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</row>
    <row r="217" spans="34:73" x14ac:dyDescent="0.25"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</row>
    <row r="218" spans="34:73" x14ac:dyDescent="0.25"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</row>
    <row r="219" spans="34:73" x14ac:dyDescent="0.25"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</row>
    <row r="220" spans="34:73" x14ac:dyDescent="0.25"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</row>
    <row r="221" spans="34:73" x14ac:dyDescent="0.25"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</row>
    <row r="222" spans="34:73" x14ac:dyDescent="0.25"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</row>
    <row r="223" spans="34:73" x14ac:dyDescent="0.25"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</row>
    <row r="224" spans="34:73" x14ac:dyDescent="0.25"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</row>
    <row r="225" spans="34:73" x14ac:dyDescent="0.25"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</row>
    <row r="226" spans="34:73" x14ac:dyDescent="0.25"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</row>
    <row r="227" spans="34:73" x14ac:dyDescent="0.25"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</row>
    <row r="228" spans="34:73" x14ac:dyDescent="0.25"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</row>
    <row r="229" spans="34:73" x14ac:dyDescent="0.25"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</row>
    <row r="230" spans="34:73" x14ac:dyDescent="0.25"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</row>
    <row r="231" spans="34:73" x14ac:dyDescent="0.25"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</row>
    <row r="232" spans="34:73" x14ac:dyDescent="0.25"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</row>
    <row r="233" spans="34:73" x14ac:dyDescent="0.25"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</row>
    <row r="234" spans="34:73" x14ac:dyDescent="0.25"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</row>
    <row r="235" spans="34:73" x14ac:dyDescent="0.25"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</row>
    <row r="236" spans="34:73" x14ac:dyDescent="0.25"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</row>
    <row r="237" spans="34:73" x14ac:dyDescent="0.25"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</row>
    <row r="238" spans="34:73" x14ac:dyDescent="0.25"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</row>
    <row r="239" spans="34:73" x14ac:dyDescent="0.25"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</row>
    <row r="240" spans="34:73" x14ac:dyDescent="0.25"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</row>
    <row r="241" spans="34:73" x14ac:dyDescent="0.25"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</row>
    <row r="242" spans="34:73" x14ac:dyDescent="0.25"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</row>
    <row r="243" spans="34:73" x14ac:dyDescent="0.25"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</row>
    <row r="244" spans="34:73" x14ac:dyDescent="0.25"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</row>
    <row r="245" spans="34:73" x14ac:dyDescent="0.25"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</row>
    <row r="246" spans="34:73" x14ac:dyDescent="0.25"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</row>
    <row r="247" spans="34:73" x14ac:dyDescent="0.25"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</row>
    <row r="248" spans="34:73" x14ac:dyDescent="0.25"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</row>
    <row r="249" spans="34:73" x14ac:dyDescent="0.25"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</row>
    <row r="250" spans="34:73" x14ac:dyDescent="0.25"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</row>
    <row r="251" spans="34:73" x14ac:dyDescent="0.25"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</row>
    <row r="252" spans="34:73" x14ac:dyDescent="0.25"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</row>
    <row r="253" spans="34:73" x14ac:dyDescent="0.25"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</row>
    <row r="254" spans="34:73" x14ac:dyDescent="0.25"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</row>
    <row r="255" spans="34:73" x14ac:dyDescent="0.25"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</row>
    <row r="256" spans="34:73" x14ac:dyDescent="0.25"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</row>
    <row r="257" spans="34:73" x14ac:dyDescent="0.25"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</row>
    <row r="258" spans="34:73" x14ac:dyDescent="0.25"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</row>
    <row r="259" spans="34:73" x14ac:dyDescent="0.25"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</row>
    <row r="260" spans="34:73" x14ac:dyDescent="0.25"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</row>
    <row r="261" spans="34:73" x14ac:dyDescent="0.25"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</row>
    <row r="262" spans="34:73" x14ac:dyDescent="0.25"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</row>
    <row r="263" spans="34:73" x14ac:dyDescent="0.25"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</row>
    <row r="264" spans="34:73" x14ac:dyDescent="0.25"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</row>
    <row r="265" spans="34:73" x14ac:dyDescent="0.25"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</row>
    <row r="266" spans="34:73" x14ac:dyDescent="0.25"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</row>
    <row r="267" spans="34:73" x14ac:dyDescent="0.25"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</row>
    <row r="268" spans="34:73" x14ac:dyDescent="0.25"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</row>
    <row r="269" spans="34:73" x14ac:dyDescent="0.25"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</row>
    <row r="270" spans="34:73" x14ac:dyDescent="0.25"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</row>
    <row r="271" spans="34:73" x14ac:dyDescent="0.25"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</row>
    <row r="272" spans="34:73" x14ac:dyDescent="0.25"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</row>
    <row r="273" spans="34:73" x14ac:dyDescent="0.25"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</row>
    <row r="274" spans="34:73" x14ac:dyDescent="0.25"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</row>
    <row r="275" spans="34:73" x14ac:dyDescent="0.25"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</row>
    <row r="276" spans="34:73" x14ac:dyDescent="0.25"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</row>
    <row r="277" spans="34:73" x14ac:dyDescent="0.25"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</row>
    <row r="278" spans="34:73" x14ac:dyDescent="0.25"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</row>
    <row r="279" spans="34:73" x14ac:dyDescent="0.25"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</row>
    <row r="280" spans="34:73" x14ac:dyDescent="0.25"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</row>
    <row r="281" spans="34:73" x14ac:dyDescent="0.25"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</row>
    <row r="282" spans="34:73" x14ac:dyDescent="0.25"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</row>
    <row r="283" spans="34:73" x14ac:dyDescent="0.25"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</row>
    <row r="284" spans="34:73" x14ac:dyDescent="0.25"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</row>
    <row r="285" spans="34:73" x14ac:dyDescent="0.25"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</row>
    <row r="286" spans="34:73" x14ac:dyDescent="0.25"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</row>
    <row r="287" spans="34:73" x14ac:dyDescent="0.25"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</row>
    <row r="288" spans="34:73" x14ac:dyDescent="0.25"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</row>
    <row r="289" spans="34:73" x14ac:dyDescent="0.25"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</row>
    <row r="290" spans="34:73" x14ac:dyDescent="0.25"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</row>
    <row r="291" spans="34:73" x14ac:dyDescent="0.25"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</row>
    <row r="292" spans="34:73" x14ac:dyDescent="0.25"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</row>
    <row r="293" spans="34:73" x14ac:dyDescent="0.25"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</row>
    <row r="294" spans="34:73" x14ac:dyDescent="0.25"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</row>
    <row r="295" spans="34:73" x14ac:dyDescent="0.25"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</row>
    <row r="296" spans="34:73" x14ac:dyDescent="0.25"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</row>
    <row r="297" spans="34:73" x14ac:dyDescent="0.25"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</row>
    <row r="298" spans="34:73" x14ac:dyDescent="0.25"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</row>
    <row r="299" spans="34:73" x14ac:dyDescent="0.25"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</row>
    <row r="300" spans="34:73" x14ac:dyDescent="0.25"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</row>
    <row r="301" spans="34:73" x14ac:dyDescent="0.25"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</row>
    <row r="302" spans="34:73" x14ac:dyDescent="0.25"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</row>
    <row r="303" spans="34:73" x14ac:dyDescent="0.25"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</row>
    <row r="304" spans="34:73" x14ac:dyDescent="0.25"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</row>
    <row r="305" spans="34:73" x14ac:dyDescent="0.25"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</row>
    <row r="306" spans="34:73" x14ac:dyDescent="0.25"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</row>
    <row r="307" spans="34:73" x14ac:dyDescent="0.25"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</row>
    <row r="308" spans="34:73" x14ac:dyDescent="0.25"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</row>
    <row r="309" spans="34:73" x14ac:dyDescent="0.25"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</row>
    <row r="310" spans="34:73" x14ac:dyDescent="0.25"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</row>
    <row r="311" spans="34:73" x14ac:dyDescent="0.25"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</row>
    <row r="312" spans="34:73" x14ac:dyDescent="0.25"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</row>
    <row r="313" spans="34:73" x14ac:dyDescent="0.25"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</row>
    <row r="314" spans="34:73" x14ac:dyDescent="0.25"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</row>
    <row r="315" spans="34:73" x14ac:dyDescent="0.25"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</row>
    <row r="316" spans="34:73" x14ac:dyDescent="0.25"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</row>
    <row r="317" spans="34:73" x14ac:dyDescent="0.25"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</row>
    <row r="318" spans="34:73" x14ac:dyDescent="0.25"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</row>
    <row r="319" spans="34:73" x14ac:dyDescent="0.25"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</row>
    <row r="320" spans="34:73" x14ac:dyDescent="0.25"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</row>
    <row r="321" spans="34:73" x14ac:dyDescent="0.25"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</row>
    <row r="322" spans="34:73" x14ac:dyDescent="0.25"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</row>
    <row r="323" spans="34:73" x14ac:dyDescent="0.25"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</row>
    <row r="324" spans="34:73" x14ac:dyDescent="0.25"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</row>
    <row r="325" spans="34:73" x14ac:dyDescent="0.25"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</row>
    <row r="326" spans="34:73" x14ac:dyDescent="0.25"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</row>
    <row r="327" spans="34:73" x14ac:dyDescent="0.25"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</row>
    <row r="328" spans="34:73" x14ac:dyDescent="0.25"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</row>
    <row r="329" spans="34:73" x14ac:dyDescent="0.25"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</row>
    <row r="330" spans="34:73" x14ac:dyDescent="0.25"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</row>
    <row r="331" spans="34:73" x14ac:dyDescent="0.25"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</row>
    <row r="332" spans="34:73" x14ac:dyDescent="0.25"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</row>
    <row r="333" spans="34:73" x14ac:dyDescent="0.25"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</row>
    <row r="334" spans="34:73" x14ac:dyDescent="0.25"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</row>
    <row r="335" spans="34:73" x14ac:dyDescent="0.25"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</row>
    <row r="336" spans="34:73" x14ac:dyDescent="0.25"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</row>
    <row r="337" spans="34:73" x14ac:dyDescent="0.25"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</row>
    <row r="338" spans="34:73" x14ac:dyDescent="0.25"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</row>
    <row r="339" spans="34:73" x14ac:dyDescent="0.25"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</row>
    <row r="340" spans="34:73" x14ac:dyDescent="0.25"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</row>
    <row r="341" spans="34:73" x14ac:dyDescent="0.25"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</row>
    <row r="342" spans="34:73" x14ac:dyDescent="0.25"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</row>
    <row r="343" spans="34:73" x14ac:dyDescent="0.25"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</row>
    <row r="344" spans="34:73" x14ac:dyDescent="0.25"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</row>
    <row r="345" spans="34:73" x14ac:dyDescent="0.25"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</row>
    <row r="346" spans="34:73" x14ac:dyDescent="0.25"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</row>
    <row r="347" spans="34:73" x14ac:dyDescent="0.25"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</row>
    <row r="348" spans="34:73" x14ac:dyDescent="0.25"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</row>
    <row r="349" spans="34:73" x14ac:dyDescent="0.25"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</row>
    <row r="350" spans="34:73" x14ac:dyDescent="0.25"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</row>
    <row r="351" spans="34:73" x14ac:dyDescent="0.25"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</row>
    <row r="352" spans="34:73" x14ac:dyDescent="0.25"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</row>
    <row r="353" spans="34:73" x14ac:dyDescent="0.25"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</row>
    <row r="354" spans="34:73" x14ac:dyDescent="0.25"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</row>
    <row r="355" spans="34:73" x14ac:dyDescent="0.25"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</row>
    <row r="356" spans="34:73" x14ac:dyDescent="0.25"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</row>
    <row r="357" spans="34:73" x14ac:dyDescent="0.25"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</row>
    <row r="358" spans="34:73" x14ac:dyDescent="0.25"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</row>
    <row r="359" spans="34:73" x14ac:dyDescent="0.25"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</row>
    <row r="360" spans="34:73" x14ac:dyDescent="0.25"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</row>
    <row r="361" spans="34:73" x14ac:dyDescent="0.25"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</row>
    <row r="362" spans="34:73" x14ac:dyDescent="0.25"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</row>
    <row r="363" spans="34:73" x14ac:dyDescent="0.25"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</row>
    <row r="364" spans="34:73" x14ac:dyDescent="0.25"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</row>
    <row r="365" spans="34:73" x14ac:dyDescent="0.25"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</row>
    <row r="366" spans="34:73" x14ac:dyDescent="0.25"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</row>
    <row r="367" spans="34:73" x14ac:dyDescent="0.25"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</row>
    <row r="368" spans="34:73" x14ac:dyDescent="0.25"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</row>
    <row r="369" spans="34:73" x14ac:dyDescent="0.25"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</row>
    <row r="370" spans="34:73" x14ac:dyDescent="0.25"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</row>
    <row r="371" spans="34:73" x14ac:dyDescent="0.25"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</row>
    <row r="372" spans="34:73" x14ac:dyDescent="0.25"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</row>
    <row r="373" spans="34:73" x14ac:dyDescent="0.25"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</row>
    <row r="374" spans="34:73" x14ac:dyDescent="0.25"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</row>
    <row r="375" spans="34:73" x14ac:dyDescent="0.25"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</row>
    <row r="376" spans="34:73" x14ac:dyDescent="0.25"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</row>
    <row r="377" spans="34:73" x14ac:dyDescent="0.25"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</row>
    <row r="378" spans="34:73" x14ac:dyDescent="0.25"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</row>
    <row r="379" spans="34:73" x14ac:dyDescent="0.25"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</row>
    <row r="380" spans="34:73" x14ac:dyDescent="0.25"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</row>
    <row r="381" spans="34:73" x14ac:dyDescent="0.25"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</row>
    <row r="382" spans="34:73" x14ac:dyDescent="0.25"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</row>
    <row r="383" spans="34:73" x14ac:dyDescent="0.25"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</row>
    <row r="384" spans="34:73" x14ac:dyDescent="0.25"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</row>
    <row r="385" spans="34:73" x14ac:dyDescent="0.25"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</row>
    <row r="386" spans="34:73" x14ac:dyDescent="0.25"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</row>
    <row r="387" spans="34:73" x14ac:dyDescent="0.25"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</row>
    <row r="388" spans="34:73" x14ac:dyDescent="0.25"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</row>
    <row r="389" spans="34:73" x14ac:dyDescent="0.25"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</row>
    <row r="390" spans="34:73" x14ac:dyDescent="0.25"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</row>
    <row r="391" spans="34:73" x14ac:dyDescent="0.25"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</row>
    <row r="392" spans="34:73" x14ac:dyDescent="0.25"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</row>
    <row r="393" spans="34:73" x14ac:dyDescent="0.25"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</row>
    <row r="394" spans="34:73" x14ac:dyDescent="0.25"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</row>
    <row r="395" spans="34:73" x14ac:dyDescent="0.25"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</row>
    <row r="396" spans="34:73" x14ac:dyDescent="0.25"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</row>
    <row r="397" spans="34:73" x14ac:dyDescent="0.25"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</row>
    <row r="398" spans="34:73" x14ac:dyDescent="0.25"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</row>
    <row r="399" spans="34:73" x14ac:dyDescent="0.25"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</row>
    <row r="400" spans="34:73" x14ac:dyDescent="0.25"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</row>
    <row r="401" spans="34:73" x14ac:dyDescent="0.25"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</row>
    <row r="402" spans="34:73" x14ac:dyDescent="0.25"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</row>
    <row r="403" spans="34:73" x14ac:dyDescent="0.25"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</row>
    <row r="404" spans="34:73" x14ac:dyDescent="0.25"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</row>
    <row r="405" spans="34:73" x14ac:dyDescent="0.25"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</row>
    <row r="406" spans="34:73" x14ac:dyDescent="0.25"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</row>
    <row r="407" spans="34:73" x14ac:dyDescent="0.25"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</row>
    <row r="408" spans="34:73" x14ac:dyDescent="0.25"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</row>
    <row r="409" spans="34:73" x14ac:dyDescent="0.25"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</row>
    <row r="410" spans="34:73" x14ac:dyDescent="0.25"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</row>
    <row r="411" spans="34:73" x14ac:dyDescent="0.25"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</row>
    <row r="412" spans="34:73" x14ac:dyDescent="0.25"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</row>
    <row r="413" spans="34:73" x14ac:dyDescent="0.25"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</row>
    <row r="414" spans="34:73" x14ac:dyDescent="0.25"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</row>
    <row r="415" spans="34:73" x14ac:dyDescent="0.25"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</row>
    <row r="416" spans="34:73" x14ac:dyDescent="0.25"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</row>
    <row r="417" spans="34:73" x14ac:dyDescent="0.25"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</row>
    <row r="418" spans="34:73" x14ac:dyDescent="0.25"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</row>
    <row r="419" spans="34:73" x14ac:dyDescent="0.25"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</row>
    <row r="420" spans="34:73" x14ac:dyDescent="0.25"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</row>
    <row r="421" spans="34:73" x14ac:dyDescent="0.25"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</row>
    <row r="422" spans="34:73" x14ac:dyDescent="0.25"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</row>
    <row r="423" spans="34:73" x14ac:dyDescent="0.25"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</row>
    <row r="424" spans="34:73" x14ac:dyDescent="0.25"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</row>
    <row r="425" spans="34:73" x14ac:dyDescent="0.25"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</row>
    <row r="426" spans="34:73" x14ac:dyDescent="0.25"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</row>
    <row r="427" spans="34:73" x14ac:dyDescent="0.25"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</row>
    <row r="428" spans="34:73" x14ac:dyDescent="0.25"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</row>
    <row r="429" spans="34:73" x14ac:dyDescent="0.25"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</row>
    <row r="430" spans="34:73" x14ac:dyDescent="0.25"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</row>
    <row r="431" spans="34:73" x14ac:dyDescent="0.25"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</row>
    <row r="432" spans="34:73" x14ac:dyDescent="0.25"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</row>
    <row r="433" spans="34:73" x14ac:dyDescent="0.25"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</row>
    <row r="434" spans="34:73" x14ac:dyDescent="0.25"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</row>
    <row r="435" spans="34:73" x14ac:dyDescent="0.25"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</row>
    <row r="436" spans="34:73" x14ac:dyDescent="0.25"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</row>
    <row r="437" spans="34:73" x14ac:dyDescent="0.25"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</row>
    <row r="438" spans="34:73" x14ac:dyDescent="0.25"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</row>
    <row r="439" spans="34:73" x14ac:dyDescent="0.25"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</row>
    <row r="440" spans="34:73" x14ac:dyDescent="0.25"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</row>
    <row r="441" spans="34:73" x14ac:dyDescent="0.25"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</row>
    <row r="442" spans="34:73" x14ac:dyDescent="0.25"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</row>
    <row r="443" spans="34:73" x14ac:dyDescent="0.25"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</row>
    <row r="444" spans="34:73" x14ac:dyDescent="0.25"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</row>
    <row r="445" spans="34:73" x14ac:dyDescent="0.25"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</row>
    <row r="446" spans="34:73" x14ac:dyDescent="0.25"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</row>
    <row r="447" spans="34:73" x14ac:dyDescent="0.25"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</row>
    <row r="448" spans="34:73" x14ac:dyDescent="0.25"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</row>
    <row r="449" spans="34:73" x14ac:dyDescent="0.25"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</row>
    <row r="450" spans="34:73" x14ac:dyDescent="0.25"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</row>
    <row r="451" spans="34:73" x14ac:dyDescent="0.25"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</row>
    <row r="452" spans="34:73" x14ac:dyDescent="0.25"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</row>
    <row r="453" spans="34:73" x14ac:dyDescent="0.25"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</row>
    <row r="454" spans="34:73" x14ac:dyDescent="0.25"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</row>
    <row r="455" spans="34:73" x14ac:dyDescent="0.25"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</row>
    <row r="456" spans="34:73" x14ac:dyDescent="0.25"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</row>
    <row r="457" spans="34:73" x14ac:dyDescent="0.25"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</row>
    <row r="458" spans="34:73" x14ac:dyDescent="0.25"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</row>
    <row r="459" spans="34:73" x14ac:dyDescent="0.25"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</row>
    <row r="460" spans="34:73" x14ac:dyDescent="0.25"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</row>
    <row r="461" spans="34:73" x14ac:dyDescent="0.25"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</row>
    <row r="462" spans="34:73" x14ac:dyDescent="0.25"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</row>
    <row r="463" spans="34:73" x14ac:dyDescent="0.25"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</row>
    <row r="464" spans="34:73" x14ac:dyDescent="0.25"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</row>
    <row r="465" spans="34:73" x14ac:dyDescent="0.25"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</row>
    <row r="466" spans="34:73" x14ac:dyDescent="0.25"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</row>
    <row r="467" spans="34:73" x14ac:dyDescent="0.25"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</row>
    <row r="468" spans="34:73" x14ac:dyDescent="0.25"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</row>
    <row r="469" spans="34:73" x14ac:dyDescent="0.25"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</row>
    <row r="470" spans="34:73" x14ac:dyDescent="0.25"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</row>
    <row r="471" spans="34:73" x14ac:dyDescent="0.25"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</row>
    <row r="472" spans="34:73" x14ac:dyDescent="0.25"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</row>
    <row r="473" spans="34:73" x14ac:dyDescent="0.25"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</row>
    <row r="474" spans="34:73" x14ac:dyDescent="0.25"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</row>
    <row r="475" spans="34:73" x14ac:dyDescent="0.25"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</row>
    <row r="476" spans="34:73" x14ac:dyDescent="0.25"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</row>
    <row r="477" spans="34:73" x14ac:dyDescent="0.25"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</row>
    <row r="478" spans="34:73" x14ac:dyDescent="0.25"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</row>
    <row r="479" spans="34:73" x14ac:dyDescent="0.25"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</row>
    <row r="480" spans="34:73" x14ac:dyDescent="0.25"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</row>
    <row r="481" spans="34:73" x14ac:dyDescent="0.25"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</row>
    <row r="482" spans="34:73" x14ac:dyDescent="0.25"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</row>
    <row r="483" spans="34:73" x14ac:dyDescent="0.25"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</row>
    <row r="484" spans="34:73" x14ac:dyDescent="0.25"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</row>
    <row r="485" spans="34:73" x14ac:dyDescent="0.25"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</row>
    <row r="486" spans="34:73" x14ac:dyDescent="0.25"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</row>
    <row r="487" spans="34:73" x14ac:dyDescent="0.25"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</row>
    <row r="488" spans="34:73" x14ac:dyDescent="0.25"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</row>
    <row r="489" spans="34:73" x14ac:dyDescent="0.25"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</row>
    <row r="490" spans="34:73" x14ac:dyDescent="0.25"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</row>
    <row r="491" spans="34:73" x14ac:dyDescent="0.25"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</row>
    <row r="492" spans="34:73" x14ac:dyDescent="0.25"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</row>
    <row r="493" spans="34:73" x14ac:dyDescent="0.25"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</row>
    <row r="494" spans="34:73" x14ac:dyDescent="0.25"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</row>
    <row r="495" spans="34:73" x14ac:dyDescent="0.25"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</row>
    <row r="496" spans="34:73" x14ac:dyDescent="0.25"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</row>
    <row r="497" spans="34:73" x14ac:dyDescent="0.25"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</row>
    <row r="498" spans="34:73" x14ac:dyDescent="0.25"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</row>
    <row r="499" spans="34:73" x14ac:dyDescent="0.25"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</row>
    <row r="500" spans="34:73" x14ac:dyDescent="0.25"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</row>
    <row r="501" spans="34:73" x14ac:dyDescent="0.25"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</row>
    <row r="502" spans="34:73" x14ac:dyDescent="0.25"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</row>
    <row r="503" spans="34:73" x14ac:dyDescent="0.25"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</row>
    <row r="504" spans="34:73" x14ac:dyDescent="0.25"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</row>
    <row r="505" spans="34:73" x14ac:dyDescent="0.25"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</row>
    <row r="506" spans="34:73" x14ac:dyDescent="0.25"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</row>
    <row r="507" spans="34:73" x14ac:dyDescent="0.25"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</row>
    <row r="508" spans="34:73" x14ac:dyDescent="0.25"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</row>
    <row r="509" spans="34:73" x14ac:dyDescent="0.25"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</row>
    <row r="510" spans="34:73" x14ac:dyDescent="0.25"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</row>
    <row r="511" spans="34:73" x14ac:dyDescent="0.25"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</row>
    <row r="512" spans="34:73" x14ac:dyDescent="0.25"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</row>
    <row r="513" spans="34:73" x14ac:dyDescent="0.25"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</row>
    <row r="514" spans="34:73" x14ac:dyDescent="0.25"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</row>
    <row r="515" spans="34:73" x14ac:dyDescent="0.25"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</row>
    <row r="516" spans="34:73" x14ac:dyDescent="0.25"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</row>
    <row r="517" spans="34:73" x14ac:dyDescent="0.25"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</row>
    <row r="518" spans="34:73" x14ac:dyDescent="0.25"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</row>
    <row r="519" spans="34:73" x14ac:dyDescent="0.25"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</row>
    <row r="520" spans="34:73" x14ac:dyDescent="0.25"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</row>
    <row r="521" spans="34:73" x14ac:dyDescent="0.25"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</row>
    <row r="522" spans="34:73" x14ac:dyDescent="0.25"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</row>
    <row r="523" spans="34:73" x14ac:dyDescent="0.25"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</row>
    <row r="524" spans="34:73" x14ac:dyDescent="0.25"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</row>
    <row r="525" spans="34:73" x14ac:dyDescent="0.25"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</row>
    <row r="526" spans="34:73" x14ac:dyDescent="0.25"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</row>
    <row r="527" spans="34:73" x14ac:dyDescent="0.25"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</row>
    <row r="528" spans="34:73" x14ac:dyDescent="0.25"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</row>
    <row r="529" spans="34:73" x14ac:dyDescent="0.25"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</row>
    <row r="530" spans="34:73" x14ac:dyDescent="0.25"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</row>
    <row r="531" spans="34:73" x14ac:dyDescent="0.25"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</row>
    <row r="532" spans="34:73" x14ac:dyDescent="0.25"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</row>
    <row r="533" spans="34:73" x14ac:dyDescent="0.25"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</row>
    <row r="534" spans="34:73" x14ac:dyDescent="0.25"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</row>
    <row r="535" spans="34:73" x14ac:dyDescent="0.25"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</row>
    <row r="536" spans="34:73" x14ac:dyDescent="0.25"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</row>
    <row r="537" spans="34:73" x14ac:dyDescent="0.25"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</row>
    <row r="538" spans="34:73" x14ac:dyDescent="0.25"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</row>
    <row r="539" spans="34:73" x14ac:dyDescent="0.25"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</row>
    <row r="540" spans="34:73" x14ac:dyDescent="0.25"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</row>
    <row r="541" spans="34:73" x14ac:dyDescent="0.25"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</row>
    <row r="542" spans="34:73" x14ac:dyDescent="0.25"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</row>
    <row r="543" spans="34:73" x14ac:dyDescent="0.25"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</row>
    <row r="544" spans="34:73" x14ac:dyDescent="0.25"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</row>
    <row r="545" spans="34:73" x14ac:dyDescent="0.25"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</row>
    <row r="546" spans="34:73" x14ac:dyDescent="0.25"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</row>
    <row r="547" spans="34:73" x14ac:dyDescent="0.25"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</row>
    <row r="548" spans="34:73" x14ac:dyDescent="0.25"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</row>
    <row r="549" spans="34:73" x14ac:dyDescent="0.25"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</row>
    <row r="550" spans="34:73" x14ac:dyDescent="0.25"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</row>
    <row r="551" spans="34:73" x14ac:dyDescent="0.25"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</row>
    <row r="552" spans="34:73" x14ac:dyDescent="0.25"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</row>
    <row r="553" spans="34:73" x14ac:dyDescent="0.25"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</row>
    <row r="554" spans="34:73" x14ac:dyDescent="0.25"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</row>
    <row r="555" spans="34:73" x14ac:dyDescent="0.25"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</row>
    <row r="556" spans="34:73" x14ac:dyDescent="0.25"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</row>
    <row r="557" spans="34:73" x14ac:dyDescent="0.25"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</row>
    <row r="558" spans="34:73" x14ac:dyDescent="0.25"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</row>
    <row r="559" spans="34:73" x14ac:dyDescent="0.25"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</row>
    <row r="560" spans="34:73" x14ac:dyDescent="0.25"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</row>
    <row r="561" spans="34:73" x14ac:dyDescent="0.25"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</row>
    <row r="562" spans="34:73" x14ac:dyDescent="0.25"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</row>
    <row r="563" spans="34:73" x14ac:dyDescent="0.25"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</row>
    <row r="564" spans="34:73" x14ac:dyDescent="0.25"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</row>
    <row r="565" spans="34:73" x14ac:dyDescent="0.25"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</row>
    <row r="566" spans="34:73" x14ac:dyDescent="0.25"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</row>
    <row r="567" spans="34:73" x14ac:dyDescent="0.25"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</row>
    <row r="568" spans="34:73" x14ac:dyDescent="0.25"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</row>
    <row r="569" spans="34:73" x14ac:dyDescent="0.25"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</row>
    <row r="570" spans="34:73" x14ac:dyDescent="0.25"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</row>
    <row r="571" spans="34:73" x14ac:dyDescent="0.25"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</row>
    <row r="572" spans="34:73" x14ac:dyDescent="0.25"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</row>
    <row r="573" spans="34:73" x14ac:dyDescent="0.25"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</row>
    <row r="574" spans="34:73" x14ac:dyDescent="0.25"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</row>
    <row r="575" spans="34:73" x14ac:dyDescent="0.25"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</row>
    <row r="576" spans="34:73" x14ac:dyDescent="0.25"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</row>
    <row r="577" spans="34:73" x14ac:dyDescent="0.25"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</row>
    <row r="578" spans="34:73" x14ac:dyDescent="0.25"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</row>
    <row r="579" spans="34:73" x14ac:dyDescent="0.25"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</row>
    <row r="580" spans="34:73" x14ac:dyDescent="0.25"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</row>
    <row r="581" spans="34:73" x14ac:dyDescent="0.25"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</row>
    <row r="582" spans="34:73" x14ac:dyDescent="0.25"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</row>
    <row r="583" spans="34:73" x14ac:dyDescent="0.25"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</row>
    <row r="584" spans="34:73" x14ac:dyDescent="0.25"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</row>
    <row r="585" spans="34:73" x14ac:dyDescent="0.25"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</row>
    <row r="586" spans="34:73" x14ac:dyDescent="0.25"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</row>
    <row r="587" spans="34:73" x14ac:dyDescent="0.25"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</row>
    <row r="588" spans="34:73" x14ac:dyDescent="0.25"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</row>
    <row r="589" spans="34:73" x14ac:dyDescent="0.25"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</row>
    <row r="590" spans="34:73" x14ac:dyDescent="0.25"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</row>
    <row r="591" spans="34:73" x14ac:dyDescent="0.25"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</row>
    <row r="592" spans="34:73" x14ac:dyDescent="0.25"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</row>
    <row r="593" spans="34:73" x14ac:dyDescent="0.25"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</row>
    <row r="594" spans="34:73" x14ac:dyDescent="0.25"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</row>
    <row r="595" spans="34:73" x14ac:dyDescent="0.25"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</row>
    <row r="596" spans="34:73" x14ac:dyDescent="0.25"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</row>
    <row r="597" spans="34:73" x14ac:dyDescent="0.25"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</row>
    <row r="598" spans="34:73" x14ac:dyDescent="0.25"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</row>
    <row r="599" spans="34:73" x14ac:dyDescent="0.25"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</row>
    <row r="600" spans="34:73" x14ac:dyDescent="0.25"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</row>
    <row r="601" spans="34:73" x14ac:dyDescent="0.25"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</row>
    <row r="602" spans="34:73" x14ac:dyDescent="0.25"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</row>
    <row r="603" spans="34:73" x14ac:dyDescent="0.25"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</row>
    <row r="604" spans="34:73" x14ac:dyDescent="0.25"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</row>
    <row r="605" spans="34:73" x14ac:dyDescent="0.25"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</row>
    <row r="606" spans="34:73" x14ac:dyDescent="0.25"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</row>
    <row r="607" spans="34:73" x14ac:dyDescent="0.25"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</row>
    <row r="608" spans="34:73" x14ac:dyDescent="0.25"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</row>
    <row r="609" spans="34:73" x14ac:dyDescent="0.25"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</row>
    <row r="610" spans="34:73" x14ac:dyDescent="0.25"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</row>
    <row r="611" spans="34:73" x14ac:dyDescent="0.25"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</row>
    <row r="612" spans="34:73" x14ac:dyDescent="0.25"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</row>
    <row r="613" spans="34:73" x14ac:dyDescent="0.25"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</row>
    <row r="614" spans="34:73" x14ac:dyDescent="0.25"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</row>
    <row r="615" spans="34:73" x14ac:dyDescent="0.25"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</row>
    <row r="616" spans="34:73" x14ac:dyDescent="0.25"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</row>
    <row r="617" spans="34:73" x14ac:dyDescent="0.25"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</row>
    <row r="618" spans="34:73" x14ac:dyDescent="0.25"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</row>
    <row r="619" spans="34:73" x14ac:dyDescent="0.25"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</row>
    <row r="620" spans="34:73" x14ac:dyDescent="0.25"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</row>
    <row r="621" spans="34:73" x14ac:dyDescent="0.25"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</row>
    <row r="622" spans="34:73" x14ac:dyDescent="0.25"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</row>
    <row r="623" spans="34:73" x14ac:dyDescent="0.25"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</row>
    <row r="624" spans="34:73" x14ac:dyDescent="0.25"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</row>
    <row r="625" spans="34:73" x14ac:dyDescent="0.25"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</row>
    <row r="626" spans="34:73" x14ac:dyDescent="0.25"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</row>
    <row r="627" spans="34:73" x14ac:dyDescent="0.25"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</row>
    <row r="628" spans="34:73" x14ac:dyDescent="0.25"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</row>
    <row r="629" spans="34:73" x14ac:dyDescent="0.25"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</row>
    <row r="630" spans="34:73" x14ac:dyDescent="0.25"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</row>
    <row r="631" spans="34:73" x14ac:dyDescent="0.25"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</row>
    <row r="632" spans="34:73" x14ac:dyDescent="0.25"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</row>
    <row r="633" spans="34:73" x14ac:dyDescent="0.25"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</row>
    <row r="634" spans="34:73" x14ac:dyDescent="0.25"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</row>
    <row r="635" spans="34:73" x14ac:dyDescent="0.25"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</row>
    <row r="636" spans="34:73" x14ac:dyDescent="0.25"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</row>
    <row r="637" spans="34:73" x14ac:dyDescent="0.25"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</row>
    <row r="638" spans="34:73" x14ac:dyDescent="0.25"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</row>
    <row r="639" spans="34:73" x14ac:dyDescent="0.25"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</row>
    <row r="640" spans="34:73" x14ac:dyDescent="0.25"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</row>
    <row r="641" spans="34:73" x14ac:dyDescent="0.25"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</row>
    <row r="642" spans="34:73" x14ac:dyDescent="0.25"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</row>
    <row r="643" spans="34:73" x14ac:dyDescent="0.25"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</row>
    <row r="644" spans="34:73" x14ac:dyDescent="0.25"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</row>
    <row r="645" spans="34:73" x14ac:dyDescent="0.25"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</row>
    <row r="646" spans="34:73" x14ac:dyDescent="0.25"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</row>
    <row r="647" spans="34:73" x14ac:dyDescent="0.25"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</row>
    <row r="648" spans="34:73" x14ac:dyDescent="0.25"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</row>
    <row r="649" spans="34:73" x14ac:dyDescent="0.25"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</row>
    <row r="650" spans="34:73" x14ac:dyDescent="0.25"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</row>
    <row r="651" spans="34:73" x14ac:dyDescent="0.25"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</row>
    <row r="652" spans="34:73" x14ac:dyDescent="0.25"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</row>
    <row r="653" spans="34:73" x14ac:dyDescent="0.25"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</row>
    <row r="654" spans="34:73" x14ac:dyDescent="0.25"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</row>
    <row r="655" spans="34:73" x14ac:dyDescent="0.25"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</row>
    <row r="656" spans="34:73" x14ac:dyDescent="0.25"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</row>
    <row r="657" spans="34:73" x14ac:dyDescent="0.25"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</row>
    <row r="658" spans="34:73" x14ac:dyDescent="0.25"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</row>
    <row r="659" spans="34:73" x14ac:dyDescent="0.25"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</row>
    <row r="660" spans="34:73" x14ac:dyDescent="0.25"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</row>
    <row r="661" spans="34:73" x14ac:dyDescent="0.25"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</row>
    <row r="662" spans="34:73" x14ac:dyDescent="0.25"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</row>
    <row r="663" spans="34:73" x14ac:dyDescent="0.25"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</row>
    <row r="664" spans="34:73" x14ac:dyDescent="0.25"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</row>
    <row r="665" spans="34:73" x14ac:dyDescent="0.25"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</row>
    <row r="666" spans="34:73" x14ac:dyDescent="0.25"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</row>
    <row r="667" spans="34:73" x14ac:dyDescent="0.25"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</row>
    <row r="668" spans="34:73" x14ac:dyDescent="0.25"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</row>
    <row r="669" spans="34:73" x14ac:dyDescent="0.25"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</row>
    <row r="670" spans="34:73" x14ac:dyDescent="0.25"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</row>
    <row r="671" spans="34:73" x14ac:dyDescent="0.25"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</row>
    <row r="672" spans="34:73" x14ac:dyDescent="0.25"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</row>
    <row r="673" spans="34:73" x14ac:dyDescent="0.25"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</row>
    <row r="674" spans="34:73" x14ac:dyDescent="0.25"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</row>
    <row r="675" spans="34:73" x14ac:dyDescent="0.25"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</row>
    <row r="676" spans="34:73" x14ac:dyDescent="0.25"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</row>
    <row r="677" spans="34:73" x14ac:dyDescent="0.25"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</row>
    <row r="678" spans="34:73" x14ac:dyDescent="0.25"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</row>
    <row r="679" spans="34:73" x14ac:dyDescent="0.25"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</row>
    <row r="680" spans="34:73" x14ac:dyDescent="0.25"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</row>
    <row r="681" spans="34:73" x14ac:dyDescent="0.25"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</row>
    <row r="682" spans="34:73" x14ac:dyDescent="0.25"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</row>
    <row r="683" spans="34:73" x14ac:dyDescent="0.25"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</row>
    <row r="684" spans="34:73" x14ac:dyDescent="0.25"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</row>
    <row r="685" spans="34:73" x14ac:dyDescent="0.25"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</row>
    <row r="686" spans="34:73" x14ac:dyDescent="0.25"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</row>
    <row r="687" spans="34:73" x14ac:dyDescent="0.25"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</row>
    <row r="688" spans="34:73" x14ac:dyDescent="0.25"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</row>
    <row r="689" spans="34:73" x14ac:dyDescent="0.25"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</row>
    <row r="690" spans="34:73" x14ac:dyDescent="0.25"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</row>
    <row r="691" spans="34:73" x14ac:dyDescent="0.25"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</row>
    <row r="692" spans="34:73" x14ac:dyDescent="0.25"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</row>
    <row r="693" spans="34:73" x14ac:dyDescent="0.25"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</row>
    <row r="694" spans="34:73" x14ac:dyDescent="0.25"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</row>
    <row r="695" spans="34:73" x14ac:dyDescent="0.25"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</row>
    <row r="696" spans="34:73" x14ac:dyDescent="0.25"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</row>
    <row r="697" spans="34:73" x14ac:dyDescent="0.25"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</row>
    <row r="698" spans="34:73" x14ac:dyDescent="0.25"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</row>
    <row r="699" spans="34:73" x14ac:dyDescent="0.25"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</row>
    <row r="700" spans="34:73" x14ac:dyDescent="0.25"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</row>
    <row r="701" spans="34:73" x14ac:dyDescent="0.25"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</row>
    <row r="702" spans="34:73" x14ac:dyDescent="0.25"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</row>
    <row r="703" spans="34:73" x14ac:dyDescent="0.25"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</row>
    <row r="704" spans="34:73" x14ac:dyDescent="0.25"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</row>
    <row r="705" spans="34:73" x14ac:dyDescent="0.25"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</row>
    <row r="706" spans="34:73" x14ac:dyDescent="0.25"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</row>
    <row r="707" spans="34:73" x14ac:dyDescent="0.25"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</row>
    <row r="708" spans="34:73" x14ac:dyDescent="0.25"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</row>
    <row r="709" spans="34:73" x14ac:dyDescent="0.25"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</row>
    <row r="710" spans="34:73" x14ac:dyDescent="0.25"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</row>
    <row r="711" spans="34:73" x14ac:dyDescent="0.25"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</row>
    <row r="712" spans="34:73" x14ac:dyDescent="0.25"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</row>
    <row r="713" spans="34:73" x14ac:dyDescent="0.25"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</row>
    <row r="714" spans="34:73" x14ac:dyDescent="0.25"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</row>
    <row r="715" spans="34:73" x14ac:dyDescent="0.25"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</row>
    <row r="716" spans="34:73" x14ac:dyDescent="0.25"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</row>
    <row r="717" spans="34:73" x14ac:dyDescent="0.25"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</row>
    <row r="718" spans="34:73" x14ac:dyDescent="0.25"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</row>
    <row r="719" spans="34:73" x14ac:dyDescent="0.25"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</row>
    <row r="720" spans="34:73" x14ac:dyDescent="0.25"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</row>
    <row r="721" spans="34:73" x14ac:dyDescent="0.25"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</row>
    <row r="722" spans="34:73" x14ac:dyDescent="0.25"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</row>
    <row r="723" spans="34:73" x14ac:dyDescent="0.25"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</row>
    <row r="724" spans="34:73" x14ac:dyDescent="0.25"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</row>
    <row r="725" spans="34:73" x14ac:dyDescent="0.25"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</row>
    <row r="726" spans="34:73" x14ac:dyDescent="0.25"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</row>
    <row r="727" spans="34:73" x14ac:dyDescent="0.25"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</row>
    <row r="728" spans="34:73" x14ac:dyDescent="0.25"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</row>
    <row r="729" spans="34:73" x14ac:dyDescent="0.25"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</row>
    <row r="730" spans="34:73" x14ac:dyDescent="0.25"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</row>
    <row r="731" spans="34:73" x14ac:dyDescent="0.25"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</row>
    <row r="732" spans="34:73" x14ac:dyDescent="0.25"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</row>
    <row r="733" spans="34:73" x14ac:dyDescent="0.25"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</row>
    <row r="734" spans="34:73" x14ac:dyDescent="0.25"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</row>
    <row r="735" spans="34:73" x14ac:dyDescent="0.25"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</row>
    <row r="736" spans="34:73" x14ac:dyDescent="0.25"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</row>
    <row r="737" spans="34:73" x14ac:dyDescent="0.25"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</row>
    <row r="738" spans="34:73" x14ac:dyDescent="0.25"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</row>
    <row r="739" spans="34:73" x14ac:dyDescent="0.25"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</row>
    <row r="740" spans="34:73" x14ac:dyDescent="0.25"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</row>
    <row r="741" spans="34:73" x14ac:dyDescent="0.25"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</row>
    <row r="742" spans="34:73" x14ac:dyDescent="0.25"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</row>
    <row r="743" spans="34:73" x14ac:dyDescent="0.25"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</row>
    <row r="744" spans="34:73" x14ac:dyDescent="0.25"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</row>
    <row r="745" spans="34:73" x14ac:dyDescent="0.25"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</row>
    <row r="746" spans="34:73" x14ac:dyDescent="0.25"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</row>
    <row r="747" spans="34:73" x14ac:dyDescent="0.25"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</row>
    <row r="748" spans="34:73" x14ac:dyDescent="0.25"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</row>
    <row r="749" spans="34:73" x14ac:dyDescent="0.25"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</row>
    <row r="750" spans="34:73" x14ac:dyDescent="0.25"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</row>
    <row r="751" spans="34:73" x14ac:dyDescent="0.25"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</row>
    <row r="752" spans="34:73" x14ac:dyDescent="0.25"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</row>
    <row r="753" spans="34:73" x14ac:dyDescent="0.25"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</row>
    <row r="754" spans="34:73" x14ac:dyDescent="0.25"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</row>
    <row r="755" spans="34:73" x14ac:dyDescent="0.25"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</row>
    <row r="756" spans="34:73" x14ac:dyDescent="0.25"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</row>
    <row r="757" spans="34:73" x14ac:dyDescent="0.25"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</row>
    <row r="758" spans="34:73" x14ac:dyDescent="0.25"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</row>
    <row r="759" spans="34:73" x14ac:dyDescent="0.25"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</row>
    <row r="760" spans="34:73" x14ac:dyDescent="0.25"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</row>
    <row r="761" spans="34:73" x14ac:dyDescent="0.25"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</row>
    <row r="762" spans="34:73" x14ac:dyDescent="0.25"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</row>
    <row r="763" spans="34:73" x14ac:dyDescent="0.25"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</row>
    <row r="764" spans="34:73" x14ac:dyDescent="0.25"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</row>
    <row r="765" spans="34:73" x14ac:dyDescent="0.25"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</row>
    <row r="766" spans="34:73" x14ac:dyDescent="0.25"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</row>
    <row r="767" spans="34:73" x14ac:dyDescent="0.25"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</row>
    <row r="768" spans="34:73" x14ac:dyDescent="0.25"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</row>
    <row r="769" spans="34:73" x14ac:dyDescent="0.25"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</row>
    <row r="770" spans="34:73" x14ac:dyDescent="0.25"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</row>
    <row r="771" spans="34:73" x14ac:dyDescent="0.25"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</row>
    <row r="772" spans="34:73" x14ac:dyDescent="0.25"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</row>
    <row r="773" spans="34:73" x14ac:dyDescent="0.25"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</row>
    <row r="774" spans="34:73" x14ac:dyDescent="0.25"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</row>
    <row r="775" spans="34:73" x14ac:dyDescent="0.25"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</row>
    <row r="776" spans="34:73" x14ac:dyDescent="0.25"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</row>
    <row r="777" spans="34:73" x14ac:dyDescent="0.25"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</row>
    <row r="778" spans="34:73" x14ac:dyDescent="0.25"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</row>
    <row r="779" spans="34:73" x14ac:dyDescent="0.25"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</row>
    <row r="780" spans="34:73" x14ac:dyDescent="0.25"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</row>
    <row r="781" spans="34:73" x14ac:dyDescent="0.25"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</row>
    <row r="782" spans="34:73" x14ac:dyDescent="0.25"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</row>
    <row r="783" spans="34:73" x14ac:dyDescent="0.25"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</row>
    <row r="784" spans="34:73" x14ac:dyDescent="0.25"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</row>
    <row r="785" spans="34:73" x14ac:dyDescent="0.25"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</row>
    <row r="786" spans="34:73" x14ac:dyDescent="0.25"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</row>
    <row r="787" spans="34:73" x14ac:dyDescent="0.25"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</row>
    <row r="788" spans="34:73" x14ac:dyDescent="0.25"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</row>
    <row r="789" spans="34:73" x14ac:dyDescent="0.25"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</row>
    <row r="790" spans="34:73" x14ac:dyDescent="0.25"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</row>
    <row r="791" spans="34:73" x14ac:dyDescent="0.25"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</row>
    <row r="792" spans="34:73" x14ac:dyDescent="0.25"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</row>
    <row r="793" spans="34:73" x14ac:dyDescent="0.25"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</row>
    <row r="794" spans="34:73" x14ac:dyDescent="0.25"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</row>
    <row r="795" spans="34:73" x14ac:dyDescent="0.25"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</row>
    <row r="796" spans="34:73" x14ac:dyDescent="0.25"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</row>
    <row r="797" spans="34:73" x14ac:dyDescent="0.25"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</row>
    <row r="798" spans="34:73" x14ac:dyDescent="0.25"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</row>
    <row r="799" spans="34:73" x14ac:dyDescent="0.25"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</row>
    <row r="800" spans="34:73" x14ac:dyDescent="0.25"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</row>
    <row r="801" spans="34:73" x14ac:dyDescent="0.25"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</row>
    <row r="802" spans="34:73" x14ac:dyDescent="0.25"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</row>
    <row r="803" spans="34:73" x14ac:dyDescent="0.25"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</row>
    <row r="804" spans="34:73" x14ac:dyDescent="0.25"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</row>
    <row r="805" spans="34:73" x14ac:dyDescent="0.25"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</row>
    <row r="806" spans="34:73" x14ac:dyDescent="0.25"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</row>
    <row r="807" spans="34:73" x14ac:dyDescent="0.25"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</row>
    <row r="808" spans="34:73" x14ac:dyDescent="0.25"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</row>
    <row r="809" spans="34:73" x14ac:dyDescent="0.25"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</row>
    <row r="810" spans="34:73" x14ac:dyDescent="0.25"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</row>
    <row r="811" spans="34:73" x14ac:dyDescent="0.25"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</row>
    <row r="812" spans="34:73" x14ac:dyDescent="0.25"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</row>
    <row r="813" spans="34:73" x14ac:dyDescent="0.25"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</row>
    <row r="814" spans="34:73" x14ac:dyDescent="0.25"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</row>
    <row r="815" spans="34:73" x14ac:dyDescent="0.25"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</row>
    <row r="816" spans="34:73" x14ac:dyDescent="0.25"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</row>
    <row r="817" spans="34:73" x14ac:dyDescent="0.25"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</row>
    <row r="818" spans="34:73" x14ac:dyDescent="0.25"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</row>
    <row r="819" spans="34:73" x14ac:dyDescent="0.25"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</row>
    <row r="820" spans="34:73" x14ac:dyDescent="0.25"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</row>
    <row r="821" spans="34:73" x14ac:dyDescent="0.25"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</row>
    <row r="822" spans="34:73" x14ac:dyDescent="0.25"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</row>
    <row r="823" spans="34:73" x14ac:dyDescent="0.25"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</row>
    <row r="824" spans="34:73" x14ac:dyDescent="0.25"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</row>
    <row r="825" spans="34:73" x14ac:dyDescent="0.25"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</row>
    <row r="826" spans="34:73" x14ac:dyDescent="0.25"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</row>
    <row r="827" spans="34:73" x14ac:dyDescent="0.25"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</row>
    <row r="828" spans="34:73" x14ac:dyDescent="0.25"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</row>
    <row r="829" spans="34:73" x14ac:dyDescent="0.25"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</row>
    <row r="830" spans="34:73" x14ac:dyDescent="0.25"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</row>
    <row r="831" spans="34:73" x14ac:dyDescent="0.25"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</row>
    <row r="832" spans="34:73" x14ac:dyDescent="0.25"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</row>
    <row r="833" spans="34:73" x14ac:dyDescent="0.25"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</row>
    <row r="834" spans="34:73" x14ac:dyDescent="0.25"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</row>
    <row r="835" spans="34:73" x14ac:dyDescent="0.25"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</row>
    <row r="836" spans="34:73" x14ac:dyDescent="0.25"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</row>
    <row r="837" spans="34:73" x14ac:dyDescent="0.25"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</row>
    <row r="838" spans="34:73" x14ac:dyDescent="0.25"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</row>
    <row r="839" spans="34:73" x14ac:dyDescent="0.25"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</row>
    <row r="840" spans="34:73" x14ac:dyDescent="0.25"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</row>
    <row r="841" spans="34:73" x14ac:dyDescent="0.25"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</row>
    <row r="842" spans="34:73" x14ac:dyDescent="0.25"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</row>
    <row r="843" spans="34:73" x14ac:dyDescent="0.25"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</row>
    <row r="844" spans="34:73" x14ac:dyDescent="0.25"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</row>
    <row r="845" spans="34:73" x14ac:dyDescent="0.25"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</row>
    <row r="846" spans="34:73" x14ac:dyDescent="0.25"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</row>
    <row r="847" spans="34:73" x14ac:dyDescent="0.25"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</row>
    <row r="848" spans="34:73" x14ac:dyDescent="0.25"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</row>
    <row r="849" spans="34:73" x14ac:dyDescent="0.25"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</row>
    <row r="850" spans="34:73" x14ac:dyDescent="0.25"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</row>
    <row r="851" spans="34:73" x14ac:dyDescent="0.25"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</row>
    <row r="852" spans="34:73" x14ac:dyDescent="0.25"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</row>
    <row r="853" spans="34:73" x14ac:dyDescent="0.25"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</row>
    <row r="854" spans="34:73" x14ac:dyDescent="0.25"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</row>
    <row r="855" spans="34:73" x14ac:dyDescent="0.25"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</row>
    <row r="856" spans="34:73" x14ac:dyDescent="0.25"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</row>
    <row r="857" spans="34:73" x14ac:dyDescent="0.25"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</row>
    <row r="858" spans="34:73" x14ac:dyDescent="0.25"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</row>
    <row r="859" spans="34:73" x14ac:dyDescent="0.25"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</row>
    <row r="860" spans="34:73" x14ac:dyDescent="0.25"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</row>
    <row r="861" spans="34:73" x14ac:dyDescent="0.25"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</row>
    <row r="862" spans="34:73" x14ac:dyDescent="0.25"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</row>
    <row r="863" spans="34:73" x14ac:dyDescent="0.25"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</row>
    <row r="864" spans="34:73" x14ac:dyDescent="0.25"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</row>
    <row r="865" spans="34:73" x14ac:dyDescent="0.25"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</row>
    <row r="866" spans="34:73" x14ac:dyDescent="0.25"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</row>
    <row r="867" spans="34:73" x14ac:dyDescent="0.25"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</row>
    <row r="868" spans="34:73" x14ac:dyDescent="0.25"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</row>
    <row r="869" spans="34:73" x14ac:dyDescent="0.25"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</row>
    <row r="870" spans="34:73" x14ac:dyDescent="0.25"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</row>
    <row r="871" spans="34:73" x14ac:dyDescent="0.25"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</row>
    <row r="872" spans="34:73" x14ac:dyDescent="0.25"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</row>
    <row r="873" spans="34:73" x14ac:dyDescent="0.25"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</row>
    <row r="874" spans="34:73" x14ac:dyDescent="0.25"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</row>
    <row r="875" spans="34:73" x14ac:dyDescent="0.25"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</row>
    <row r="876" spans="34:73" x14ac:dyDescent="0.25"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</row>
    <row r="877" spans="34:73" x14ac:dyDescent="0.25"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</row>
    <row r="878" spans="34:73" x14ac:dyDescent="0.25"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</row>
    <row r="879" spans="34:73" x14ac:dyDescent="0.25"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</row>
    <row r="880" spans="34:73" x14ac:dyDescent="0.25"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</row>
    <row r="881" spans="34:73" x14ac:dyDescent="0.25"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</row>
    <row r="882" spans="34:73" x14ac:dyDescent="0.25"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</row>
    <row r="883" spans="34:73" x14ac:dyDescent="0.25"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</row>
    <row r="884" spans="34:73" x14ac:dyDescent="0.25"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</row>
    <row r="885" spans="34:73" x14ac:dyDescent="0.25"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</row>
    <row r="886" spans="34:73" x14ac:dyDescent="0.25"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</row>
    <row r="887" spans="34:73" x14ac:dyDescent="0.25"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</row>
    <row r="888" spans="34:73" x14ac:dyDescent="0.25"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</row>
    <row r="889" spans="34:73" x14ac:dyDescent="0.25"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</row>
    <row r="890" spans="34:73" x14ac:dyDescent="0.25"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</row>
    <row r="891" spans="34:73" x14ac:dyDescent="0.25"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</row>
    <row r="892" spans="34:73" x14ac:dyDescent="0.25"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</row>
    <row r="893" spans="34:73" x14ac:dyDescent="0.25"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</row>
    <row r="894" spans="34:73" x14ac:dyDescent="0.25"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</row>
    <row r="895" spans="34:73" x14ac:dyDescent="0.25"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</row>
    <row r="896" spans="34:73" x14ac:dyDescent="0.25"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</row>
    <row r="897" spans="34:73" x14ac:dyDescent="0.25"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</row>
    <row r="898" spans="34:73" x14ac:dyDescent="0.25"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</row>
    <row r="899" spans="34:73" x14ac:dyDescent="0.25"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</row>
    <row r="900" spans="34:73" x14ac:dyDescent="0.25"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</row>
    <row r="901" spans="34:73" x14ac:dyDescent="0.25"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</row>
    <row r="902" spans="34:73" x14ac:dyDescent="0.25"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</row>
    <row r="903" spans="34:73" x14ac:dyDescent="0.25"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</row>
    <row r="904" spans="34:73" x14ac:dyDescent="0.25"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</row>
    <row r="905" spans="34:73" x14ac:dyDescent="0.25"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</row>
    <row r="906" spans="34:73" x14ac:dyDescent="0.25"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</row>
    <row r="907" spans="34:73" x14ac:dyDescent="0.25"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</row>
    <row r="908" spans="34:73" x14ac:dyDescent="0.25"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</row>
    <row r="909" spans="34:73" x14ac:dyDescent="0.25"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</row>
    <row r="910" spans="34:73" x14ac:dyDescent="0.25"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</row>
    <row r="911" spans="34:73" x14ac:dyDescent="0.25"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</row>
    <row r="912" spans="34:73" x14ac:dyDescent="0.25"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</row>
    <row r="913" spans="34:73" x14ac:dyDescent="0.25"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</row>
    <row r="914" spans="34:73" x14ac:dyDescent="0.25"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</row>
    <row r="915" spans="34:73" x14ac:dyDescent="0.25"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</row>
    <row r="916" spans="34:73" x14ac:dyDescent="0.25"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</row>
    <row r="917" spans="34:73" x14ac:dyDescent="0.25"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</row>
    <row r="918" spans="34:73" x14ac:dyDescent="0.25"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</row>
    <row r="919" spans="34:73" x14ac:dyDescent="0.25"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</row>
    <row r="920" spans="34:73" x14ac:dyDescent="0.25"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</row>
    <row r="921" spans="34:73" x14ac:dyDescent="0.25"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</row>
    <row r="922" spans="34:73" x14ac:dyDescent="0.25"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</row>
    <row r="923" spans="34:73" x14ac:dyDescent="0.25"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</row>
    <row r="924" spans="34:73" x14ac:dyDescent="0.25"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</row>
    <row r="925" spans="34:73" x14ac:dyDescent="0.25"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</row>
    <row r="926" spans="34:73" x14ac:dyDescent="0.25"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</row>
    <row r="927" spans="34:73" x14ac:dyDescent="0.25"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</row>
    <row r="928" spans="34:73" x14ac:dyDescent="0.25"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</row>
    <row r="929" spans="34:73" x14ac:dyDescent="0.25"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</row>
    <row r="930" spans="34:73" x14ac:dyDescent="0.25"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</row>
    <row r="931" spans="34:73" x14ac:dyDescent="0.25"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</row>
    <row r="932" spans="34:73" x14ac:dyDescent="0.25"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</row>
    <row r="933" spans="34:73" x14ac:dyDescent="0.25"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</row>
    <row r="934" spans="34:73" x14ac:dyDescent="0.25"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</row>
    <row r="935" spans="34:73" x14ac:dyDescent="0.25"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</row>
    <row r="936" spans="34:73" x14ac:dyDescent="0.25"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</row>
    <row r="937" spans="34:73" x14ac:dyDescent="0.25"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</row>
    <row r="938" spans="34:73" x14ac:dyDescent="0.25"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</row>
    <row r="939" spans="34:73" x14ac:dyDescent="0.25"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</row>
    <row r="940" spans="34:73" x14ac:dyDescent="0.25"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</row>
    <row r="941" spans="34:73" x14ac:dyDescent="0.25"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</row>
    <row r="942" spans="34:73" x14ac:dyDescent="0.25"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</row>
    <row r="943" spans="34:73" x14ac:dyDescent="0.25"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</row>
    <row r="944" spans="34:73" x14ac:dyDescent="0.25"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</row>
    <row r="945" spans="34:73" x14ac:dyDescent="0.25"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</row>
    <row r="946" spans="34:73" x14ac:dyDescent="0.25"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</row>
    <row r="947" spans="34:73" x14ac:dyDescent="0.25"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</row>
    <row r="948" spans="34:73" x14ac:dyDescent="0.25"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</row>
    <row r="949" spans="34:73" x14ac:dyDescent="0.25"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</row>
    <row r="950" spans="34:73" x14ac:dyDescent="0.25"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</row>
    <row r="951" spans="34:73" x14ac:dyDescent="0.25"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</row>
    <row r="952" spans="34:73" x14ac:dyDescent="0.25"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</row>
    <row r="953" spans="34:73" x14ac:dyDescent="0.25"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</row>
    <row r="954" spans="34:73" x14ac:dyDescent="0.25"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</row>
    <row r="955" spans="34:73" x14ac:dyDescent="0.25"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</row>
    <row r="956" spans="34:73" x14ac:dyDescent="0.25"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</row>
    <row r="957" spans="34:73" x14ac:dyDescent="0.25"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</row>
    <row r="958" spans="34:73" x14ac:dyDescent="0.25"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</row>
    <row r="959" spans="34:73" x14ac:dyDescent="0.25"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</row>
    <row r="960" spans="34:73" x14ac:dyDescent="0.25"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</row>
    <row r="961" spans="34:73" x14ac:dyDescent="0.25"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</row>
    <row r="962" spans="34:73" x14ac:dyDescent="0.25"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</row>
    <row r="963" spans="34:73" x14ac:dyDescent="0.25"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</row>
    <row r="964" spans="34:73" x14ac:dyDescent="0.25"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</row>
    <row r="965" spans="34:73" x14ac:dyDescent="0.25"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</row>
    <row r="966" spans="34:73" x14ac:dyDescent="0.25"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</row>
    <row r="967" spans="34:73" x14ac:dyDescent="0.25"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</row>
    <row r="968" spans="34:73" x14ac:dyDescent="0.25"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</row>
    <row r="969" spans="34:73" x14ac:dyDescent="0.25"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</row>
    <row r="970" spans="34:73" x14ac:dyDescent="0.25"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</row>
    <row r="971" spans="34:73" x14ac:dyDescent="0.25"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</row>
    <row r="972" spans="34:73" x14ac:dyDescent="0.25"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</row>
    <row r="973" spans="34:73" x14ac:dyDescent="0.25"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</row>
    <row r="974" spans="34:73" x14ac:dyDescent="0.25"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</row>
    <row r="975" spans="34:73" x14ac:dyDescent="0.25"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</row>
    <row r="976" spans="34:73" x14ac:dyDescent="0.25"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</row>
    <row r="977" spans="34:73" x14ac:dyDescent="0.25"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</row>
    <row r="978" spans="34:73" x14ac:dyDescent="0.25"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</row>
    <row r="979" spans="34:73" x14ac:dyDescent="0.25"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</row>
    <row r="980" spans="34:73" x14ac:dyDescent="0.25"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</row>
    <row r="981" spans="34:73" x14ac:dyDescent="0.25"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</row>
    <row r="982" spans="34:73" x14ac:dyDescent="0.25"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</row>
    <row r="983" spans="34:73" x14ac:dyDescent="0.25"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</row>
    <row r="984" spans="34:73" x14ac:dyDescent="0.25"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</row>
    <row r="985" spans="34:73" x14ac:dyDescent="0.25"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</row>
    <row r="986" spans="34:73" x14ac:dyDescent="0.25"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</row>
    <row r="987" spans="34:73" x14ac:dyDescent="0.25"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</row>
    <row r="988" spans="34:73" x14ac:dyDescent="0.25"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</row>
    <row r="989" spans="34:73" x14ac:dyDescent="0.25"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</row>
    <row r="990" spans="34:73" x14ac:dyDescent="0.25"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</row>
    <row r="991" spans="34:73" x14ac:dyDescent="0.25"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</row>
    <row r="992" spans="34:73" x14ac:dyDescent="0.25"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</row>
    <row r="993" spans="34:73" x14ac:dyDescent="0.25"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</row>
    <row r="994" spans="34:73" x14ac:dyDescent="0.25"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</row>
    <row r="995" spans="34:73" x14ac:dyDescent="0.25"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</row>
    <row r="996" spans="34:73" x14ac:dyDescent="0.25"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</row>
    <row r="997" spans="34:73" x14ac:dyDescent="0.25"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</row>
    <row r="998" spans="34:73" x14ac:dyDescent="0.25"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</row>
    <row r="999" spans="34:73" x14ac:dyDescent="0.25"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</row>
    <row r="1000" spans="34:73" x14ac:dyDescent="0.25"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</row>
    <row r="1001" spans="34:73" x14ac:dyDescent="0.25"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  <c r="BG1001" s="29"/>
      <c r="BH1001" s="29"/>
      <c r="BI1001" s="29"/>
      <c r="BJ1001" s="29"/>
      <c r="BK1001" s="29"/>
      <c r="BL1001" s="29"/>
      <c r="BM1001" s="29"/>
      <c r="BN1001" s="29"/>
      <c r="BO1001" s="29"/>
      <c r="BP1001" s="29"/>
      <c r="BQ1001" s="29"/>
      <c r="BR1001" s="29"/>
      <c r="BS1001" s="29"/>
      <c r="BT1001" s="29"/>
      <c r="BU1001" s="29"/>
    </row>
    <row r="1002" spans="34:73" x14ac:dyDescent="0.25"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  <c r="BG1002" s="29"/>
      <c r="BH1002" s="29"/>
      <c r="BI1002" s="29"/>
      <c r="BJ1002" s="29"/>
      <c r="BK1002" s="29"/>
      <c r="BL1002" s="29"/>
      <c r="BM1002" s="29"/>
      <c r="BN1002" s="29"/>
      <c r="BO1002" s="29"/>
      <c r="BP1002" s="29"/>
      <c r="BQ1002" s="29"/>
      <c r="BR1002" s="29"/>
      <c r="BS1002" s="29"/>
      <c r="BT1002" s="29"/>
      <c r="BU1002" s="29"/>
    </row>
    <row r="1003" spans="34:73" x14ac:dyDescent="0.25"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29"/>
      <c r="BI1003" s="29"/>
      <c r="BJ1003" s="29"/>
      <c r="BK1003" s="29"/>
      <c r="BL1003" s="29"/>
      <c r="BM1003" s="29"/>
      <c r="BN1003" s="29"/>
      <c r="BO1003" s="29"/>
      <c r="BP1003" s="29"/>
      <c r="BQ1003" s="29"/>
      <c r="BR1003" s="29"/>
      <c r="BS1003" s="29"/>
      <c r="BT1003" s="29"/>
      <c r="BU1003" s="29"/>
    </row>
    <row r="1004" spans="34:73" x14ac:dyDescent="0.25"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/>
      <c r="BB1004" s="29"/>
      <c r="BC1004" s="29"/>
      <c r="BD1004" s="29"/>
      <c r="BE1004" s="29"/>
      <c r="BF1004" s="29"/>
      <c r="BG1004" s="29"/>
      <c r="BH1004" s="29"/>
      <c r="BI1004" s="29"/>
      <c r="BJ1004" s="29"/>
      <c r="BK1004" s="29"/>
      <c r="BL1004" s="29"/>
      <c r="BM1004" s="29"/>
      <c r="BN1004" s="29"/>
      <c r="BO1004" s="29"/>
      <c r="BP1004" s="29"/>
      <c r="BQ1004" s="29"/>
      <c r="BR1004" s="29"/>
      <c r="BS1004" s="29"/>
      <c r="BT1004" s="29"/>
      <c r="BU1004" s="29"/>
    </row>
    <row r="1005" spans="34:73" x14ac:dyDescent="0.25"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/>
      <c r="BB1005" s="29"/>
      <c r="BC1005" s="29"/>
      <c r="BD1005" s="29"/>
      <c r="BE1005" s="29"/>
      <c r="BF1005" s="29"/>
      <c r="BG1005" s="29"/>
      <c r="BH1005" s="29"/>
      <c r="BI1005" s="29"/>
      <c r="BJ1005" s="29"/>
      <c r="BK1005" s="29"/>
      <c r="BL1005" s="29"/>
      <c r="BM1005" s="29"/>
      <c r="BN1005" s="29"/>
      <c r="BO1005" s="29"/>
      <c r="BP1005" s="29"/>
      <c r="BQ1005" s="29"/>
      <c r="BR1005" s="29"/>
      <c r="BS1005" s="29"/>
      <c r="BT1005" s="29"/>
      <c r="BU1005" s="29"/>
    </row>
    <row r="1006" spans="34:73" x14ac:dyDescent="0.25"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29"/>
      <c r="BD1006" s="29"/>
      <c r="BE1006" s="29"/>
      <c r="BF1006" s="29"/>
      <c r="BG1006" s="29"/>
      <c r="BH1006" s="29"/>
      <c r="BI1006" s="29"/>
      <c r="BJ1006" s="29"/>
      <c r="BK1006" s="29"/>
      <c r="BL1006" s="29"/>
      <c r="BM1006" s="29"/>
      <c r="BN1006" s="29"/>
      <c r="BO1006" s="29"/>
      <c r="BP1006" s="29"/>
      <c r="BQ1006" s="29"/>
      <c r="BR1006" s="29"/>
      <c r="BS1006" s="29"/>
      <c r="BT1006" s="29"/>
      <c r="BU1006" s="29"/>
    </row>
    <row r="1007" spans="34:73" x14ac:dyDescent="0.25"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29"/>
      <c r="BD1007" s="29"/>
      <c r="BE1007" s="29"/>
      <c r="BF1007" s="29"/>
      <c r="BG1007" s="29"/>
      <c r="BH1007" s="29"/>
      <c r="BI1007" s="29"/>
      <c r="BJ1007" s="29"/>
      <c r="BK1007" s="29"/>
      <c r="BL1007" s="29"/>
      <c r="BM1007" s="29"/>
      <c r="BN1007" s="29"/>
      <c r="BO1007" s="29"/>
      <c r="BP1007" s="29"/>
      <c r="BQ1007" s="29"/>
      <c r="BR1007" s="29"/>
      <c r="BS1007" s="29"/>
      <c r="BT1007" s="29"/>
      <c r="BU1007" s="29"/>
    </row>
    <row r="1008" spans="34:73" x14ac:dyDescent="0.25"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29"/>
      <c r="BE1008" s="29"/>
      <c r="BF1008" s="29"/>
      <c r="BG1008" s="29"/>
      <c r="BH1008" s="29"/>
      <c r="BI1008" s="29"/>
      <c r="BJ1008" s="29"/>
      <c r="BK1008" s="29"/>
      <c r="BL1008" s="29"/>
      <c r="BM1008" s="29"/>
      <c r="BN1008" s="29"/>
      <c r="BO1008" s="29"/>
      <c r="BP1008" s="29"/>
      <c r="BQ1008" s="29"/>
      <c r="BR1008" s="29"/>
      <c r="BS1008" s="29"/>
      <c r="BT1008" s="29"/>
      <c r="BU1008" s="29"/>
    </row>
    <row r="1009" spans="34:73" x14ac:dyDescent="0.25"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29"/>
      <c r="BD1009" s="29"/>
      <c r="BE1009" s="29"/>
      <c r="BF1009" s="29"/>
      <c r="BG1009" s="29"/>
      <c r="BH1009" s="29"/>
      <c r="BI1009" s="29"/>
      <c r="BJ1009" s="29"/>
      <c r="BK1009" s="29"/>
      <c r="BL1009" s="29"/>
      <c r="BM1009" s="29"/>
      <c r="BN1009" s="29"/>
      <c r="BO1009" s="29"/>
      <c r="BP1009" s="29"/>
      <c r="BQ1009" s="29"/>
      <c r="BR1009" s="29"/>
      <c r="BS1009" s="29"/>
      <c r="BT1009" s="29"/>
      <c r="BU1009" s="29"/>
    </row>
    <row r="1010" spans="34:73" x14ac:dyDescent="0.25"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29"/>
      <c r="BD1010" s="29"/>
      <c r="BE1010" s="29"/>
      <c r="BF1010" s="29"/>
      <c r="BG1010" s="29"/>
      <c r="BH1010" s="29"/>
      <c r="BI1010" s="29"/>
      <c r="BJ1010" s="29"/>
      <c r="BK1010" s="29"/>
      <c r="BL1010" s="29"/>
      <c r="BM1010" s="29"/>
      <c r="BN1010" s="29"/>
      <c r="BO1010" s="29"/>
      <c r="BP1010" s="29"/>
      <c r="BQ1010" s="29"/>
      <c r="BR1010" s="29"/>
      <c r="BS1010" s="29"/>
      <c r="BT1010" s="29"/>
      <c r="BU1010" s="29"/>
    </row>
    <row r="1011" spans="34:73" x14ac:dyDescent="0.25"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29"/>
      <c r="BD1011" s="29"/>
      <c r="BE1011" s="29"/>
      <c r="BF1011" s="29"/>
      <c r="BG1011" s="29"/>
      <c r="BH1011" s="29"/>
      <c r="BI1011" s="29"/>
      <c r="BJ1011" s="29"/>
      <c r="BK1011" s="29"/>
      <c r="BL1011" s="29"/>
      <c r="BM1011" s="29"/>
      <c r="BN1011" s="29"/>
      <c r="BO1011" s="29"/>
      <c r="BP1011" s="29"/>
      <c r="BQ1011" s="29"/>
      <c r="BR1011" s="29"/>
      <c r="BS1011" s="29"/>
      <c r="BT1011" s="29"/>
      <c r="BU1011" s="29"/>
    </row>
    <row r="1012" spans="34:73" x14ac:dyDescent="0.25"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  <c r="BB1012" s="29"/>
      <c r="BC1012" s="29"/>
      <c r="BD1012" s="29"/>
      <c r="BE1012" s="29"/>
      <c r="BF1012" s="29"/>
      <c r="BG1012" s="29"/>
      <c r="BH1012" s="29"/>
      <c r="BI1012" s="29"/>
      <c r="BJ1012" s="29"/>
      <c r="BK1012" s="29"/>
      <c r="BL1012" s="29"/>
      <c r="BM1012" s="29"/>
      <c r="BN1012" s="29"/>
      <c r="BO1012" s="29"/>
      <c r="BP1012" s="29"/>
      <c r="BQ1012" s="29"/>
      <c r="BR1012" s="29"/>
      <c r="BS1012" s="29"/>
      <c r="BT1012" s="29"/>
      <c r="BU1012" s="29"/>
    </row>
    <row r="1013" spans="34:73" x14ac:dyDescent="0.25"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  <c r="BB1013" s="29"/>
      <c r="BC1013" s="29"/>
      <c r="BD1013" s="29"/>
      <c r="BE1013" s="29"/>
      <c r="BF1013" s="29"/>
      <c r="BG1013" s="29"/>
      <c r="BH1013" s="29"/>
      <c r="BI1013" s="29"/>
      <c r="BJ1013" s="29"/>
      <c r="BK1013" s="29"/>
      <c r="BL1013" s="29"/>
      <c r="BM1013" s="29"/>
      <c r="BN1013" s="29"/>
      <c r="BO1013" s="29"/>
      <c r="BP1013" s="29"/>
      <c r="BQ1013" s="29"/>
      <c r="BR1013" s="29"/>
      <c r="BS1013" s="29"/>
      <c r="BT1013" s="29"/>
      <c r="BU1013" s="29"/>
    </row>
    <row r="1014" spans="34:73" x14ac:dyDescent="0.25"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29"/>
      <c r="BD1014" s="29"/>
      <c r="BE1014" s="29"/>
      <c r="BF1014" s="29"/>
      <c r="BG1014" s="29"/>
      <c r="BH1014" s="29"/>
      <c r="BI1014" s="29"/>
      <c r="BJ1014" s="29"/>
      <c r="BK1014" s="29"/>
      <c r="BL1014" s="29"/>
      <c r="BM1014" s="29"/>
      <c r="BN1014" s="29"/>
      <c r="BO1014" s="29"/>
      <c r="BP1014" s="29"/>
      <c r="BQ1014" s="29"/>
      <c r="BR1014" s="29"/>
      <c r="BS1014" s="29"/>
      <c r="BT1014" s="29"/>
      <c r="BU1014" s="29"/>
    </row>
    <row r="1015" spans="34:73" x14ac:dyDescent="0.25"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  <c r="BB1015" s="29"/>
      <c r="BC1015" s="29"/>
      <c r="BD1015" s="29"/>
      <c r="BE1015" s="29"/>
      <c r="BF1015" s="29"/>
      <c r="BG1015" s="29"/>
      <c r="BH1015" s="29"/>
      <c r="BI1015" s="29"/>
      <c r="BJ1015" s="29"/>
      <c r="BK1015" s="29"/>
      <c r="BL1015" s="29"/>
      <c r="BM1015" s="29"/>
      <c r="BN1015" s="29"/>
      <c r="BO1015" s="29"/>
      <c r="BP1015" s="29"/>
      <c r="BQ1015" s="29"/>
      <c r="BR1015" s="29"/>
      <c r="BS1015" s="29"/>
      <c r="BT1015" s="29"/>
      <c r="BU1015" s="29"/>
    </row>
    <row r="1016" spans="34:73" x14ac:dyDescent="0.25"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  <c r="BB1016" s="29"/>
      <c r="BC1016" s="29"/>
      <c r="BD1016" s="29"/>
      <c r="BE1016" s="29"/>
      <c r="BF1016" s="29"/>
      <c r="BG1016" s="29"/>
      <c r="BH1016" s="29"/>
      <c r="BI1016" s="29"/>
      <c r="BJ1016" s="29"/>
      <c r="BK1016" s="29"/>
      <c r="BL1016" s="29"/>
      <c r="BM1016" s="29"/>
      <c r="BN1016" s="29"/>
      <c r="BO1016" s="29"/>
      <c r="BP1016" s="29"/>
      <c r="BQ1016" s="29"/>
      <c r="BR1016" s="29"/>
      <c r="BS1016" s="29"/>
      <c r="BT1016" s="29"/>
      <c r="BU1016" s="29"/>
    </row>
    <row r="1017" spans="34:73" x14ac:dyDescent="0.25"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29"/>
      <c r="BD1017" s="29"/>
      <c r="BE1017" s="29"/>
      <c r="BF1017" s="29"/>
      <c r="BG1017" s="29"/>
      <c r="BH1017" s="29"/>
      <c r="BI1017" s="29"/>
      <c r="BJ1017" s="29"/>
      <c r="BK1017" s="29"/>
      <c r="BL1017" s="29"/>
      <c r="BM1017" s="29"/>
      <c r="BN1017" s="29"/>
      <c r="BO1017" s="29"/>
      <c r="BP1017" s="29"/>
      <c r="BQ1017" s="29"/>
      <c r="BR1017" s="29"/>
      <c r="BS1017" s="29"/>
      <c r="BT1017" s="29"/>
      <c r="BU1017" s="29"/>
    </row>
    <row r="1018" spans="34:73" x14ac:dyDescent="0.25"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  <c r="BB1018" s="29"/>
      <c r="BC1018" s="29"/>
      <c r="BD1018" s="29"/>
      <c r="BE1018" s="29"/>
      <c r="BF1018" s="29"/>
      <c r="BG1018" s="29"/>
      <c r="BH1018" s="29"/>
      <c r="BI1018" s="29"/>
      <c r="BJ1018" s="29"/>
      <c r="BK1018" s="29"/>
      <c r="BL1018" s="29"/>
      <c r="BM1018" s="29"/>
      <c r="BN1018" s="29"/>
      <c r="BO1018" s="29"/>
      <c r="BP1018" s="29"/>
      <c r="BQ1018" s="29"/>
      <c r="BR1018" s="29"/>
      <c r="BS1018" s="29"/>
      <c r="BT1018" s="29"/>
      <c r="BU1018" s="29"/>
    </row>
    <row r="1019" spans="34:73" x14ac:dyDescent="0.25"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29"/>
      <c r="BD1019" s="29"/>
      <c r="BE1019" s="29"/>
      <c r="BF1019" s="29"/>
      <c r="BG1019" s="29"/>
      <c r="BH1019" s="29"/>
      <c r="BI1019" s="29"/>
      <c r="BJ1019" s="29"/>
      <c r="BK1019" s="29"/>
      <c r="BL1019" s="29"/>
      <c r="BM1019" s="29"/>
      <c r="BN1019" s="29"/>
      <c r="BO1019" s="29"/>
      <c r="BP1019" s="29"/>
      <c r="BQ1019" s="29"/>
      <c r="BR1019" s="29"/>
      <c r="BS1019" s="29"/>
      <c r="BT1019" s="29"/>
      <c r="BU1019" s="29"/>
    </row>
    <row r="1020" spans="34:73" x14ac:dyDescent="0.25"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  <c r="BB1020" s="29"/>
      <c r="BC1020" s="29"/>
      <c r="BD1020" s="29"/>
      <c r="BE1020" s="29"/>
      <c r="BF1020" s="29"/>
      <c r="BG1020" s="29"/>
      <c r="BH1020" s="29"/>
      <c r="BI1020" s="29"/>
      <c r="BJ1020" s="29"/>
      <c r="BK1020" s="29"/>
      <c r="BL1020" s="29"/>
      <c r="BM1020" s="29"/>
      <c r="BN1020" s="29"/>
      <c r="BO1020" s="29"/>
      <c r="BP1020" s="29"/>
      <c r="BQ1020" s="29"/>
      <c r="BR1020" s="29"/>
      <c r="BS1020" s="29"/>
      <c r="BT1020" s="29"/>
      <c r="BU1020" s="29"/>
    </row>
    <row r="1021" spans="34:73" x14ac:dyDescent="0.25"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  <c r="BB1021" s="29"/>
      <c r="BC1021" s="29"/>
      <c r="BD1021" s="29"/>
      <c r="BE1021" s="29"/>
      <c r="BF1021" s="29"/>
      <c r="BG1021" s="29"/>
      <c r="BH1021" s="29"/>
      <c r="BI1021" s="29"/>
      <c r="BJ1021" s="29"/>
      <c r="BK1021" s="29"/>
      <c r="BL1021" s="29"/>
      <c r="BM1021" s="29"/>
      <c r="BN1021" s="29"/>
      <c r="BO1021" s="29"/>
      <c r="BP1021" s="29"/>
      <c r="BQ1021" s="29"/>
      <c r="BR1021" s="29"/>
      <c r="BS1021" s="29"/>
      <c r="BT1021" s="29"/>
      <c r="BU1021" s="29"/>
    </row>
    <row r="1022" spans="34:73" x14ac:dyDescent="0.25"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29"/>
      <c r="BE1022" s="29"/>
      <c r="BF1022" s="29"/>
      <c r="BG1022" s="29"/>
      <c r="BH1022" s="29"/>
      <c r="BI1022" s="29"/>
      <c r="BJ1022" s="29"/>
      <c r="BK1022" s="29"/>
      <c r="BL1022" s="29"/>
      <c r="BM1022" s="29"/>
      <c r="BN1022" s="29"/>
      <c r="BO1022" s="29"/>
      <c r="BP1022" s="29"/>
      <c r="BQ1022" s="29"/>
      <c r="BR1022" s="29"/>
      <c r="BS1022" s="29"/>
      <c r="BT1022" s="29"/>
      <c r="BU1022" s="29"/>
    </row>
    <row r="1023" spans="34:73" x14ac:dyDescent="0.25"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29"/>
      <c r="BE1023" s="29"/>
      <c r="BF1023" s="29"/>
      <c r="BG1023" s="29"/>
      <c r="BH1023" s="29"/>
      <c r="BI1023" s="29"/>
      <c r="BJ1023" s="29"/>
      <c r="BK1023" s="29"/>
      <c r="BL1023" s="29"/>
      <c r="BM1023" s="29"/>
      <c r="BN1023" s="29"/>
      <c r="BO1023" s="29"/>
      <c r="BP1023" s="29"/>
      <c r="BQ1023" s="29"/>
      <c r="BR1023" s="29"/>
      <c r="BS1023" s="29"/>
      <c r="BT1023" s="29"/>
      <c r="BU1023" s="29"/>
    </row>
    <row r="1024" spans="34:73" x14ac:dyDescent="0.25"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  <c r="BB1024" s="29"/>
      <c r="BC1024" s="29"/>
      <c r="BD1024" s="29"/>
      <c r="BE1024" s="29"/>
      <c r="BF1024" s="29"/>
      <c r="BG1024" s="29"/>
      <c r="BH1024" s="29"/>
      <c r="BI1024" s="29"/>
      <c r="BJ1024" s="29"/>
      <c r="BK1024" s="29"/>
      <c r="BL1024" s="29"/>
      <c r="BM1024" s="29"/>
      <c r="BN1024" s="29"/>
      <c r="BO1024" s="29"/>
      <c r="BP1024" s="29"/>
      <c r="BQ1024" s="29"/>
      <c r="BR1024" s="29"/>
      <c r="BS1024" s="29"/>
      <c r="BT1024" s="29"/>
      <c r="BU1024" s="29"/>
    </row>
    <row r="1025" spans="34:73" x14ac:dyDescent="0.25"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  <c r="BB1025" s="29"/>
      <c r="BC1025" s="29"/>
      <c r="BD1025" s="29"/>
      <c r="BE1025" s="29"/>
      <c r="BF1025" s="29"/>
      <c r="BG1025" s="29"/>
      <c r="BH1025" s="29"/>
      <c r="BI1025" s="29"/>
      <c r="BJ1025" s="29"/>
      <c r="BK1025" s="29"/>
      <c r="BL1025" s="29"/>
      <c r="BM1025" s="29"/>
      <c r="BN1025" s="29"/>
      <c r="BO1025" s="29"/>
      <c r="BP1025" s="29"/>
      <c r="BQ1025" s="29"/>
      <c r="BR1025" s="29"/>
      <c r="BS1025" s="29"/>
      <c r="BT1025" s="29"/>
      <c r="BU1025" s="29"/>
    </row>
    <row r="1026" spans="34:73" x14ac:dyDescent="0.25"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  <c r="AT1026" s="29"/>
      <c r="AU1026" s="29"/>
      <c r="AV1026" s="29"/>
      <c r="AW1026" s="29"/>
      <c r="AX1026" s="29"/>
      <c r="AY1026" s="29"/>
      <c r="AZ1026" s="29"/>
      <c r="BA1026" s="29"/>
      <c r="BB1026" s="29"/>
      <c r="BC1026" s="29"/>
      <c r="BD1026" s="29"/>
      <c r="BE1026" s="29"/>
      <c r="BF1026" s="29"/>
      <c r="BG1026" s="29"/>
      <c r="BH1026" s="29"/>
      <c r="BI1026" s="29"/>
      <c r="BJ1026" s="29"/>
      <c r="BK1026" s="29"/>
      <c r="BL1026" s="29"/>
      <c r="BM1026" s="29"/>
      <c r="BN1026" s="29"/>
      <c r="BO1026" s="29"/>
      <c r="BP1026" s="29"/>
      <c r="BQ1026" s="29"/>
      <c r="BR1026" s="29"/>
      <c r="BS1026" s="29"/>
      <c r="BT1026" s="29"/>
      <c r="BU1026" s="29"/>
    </row>
    <row r="1027" spans="34:73" x14ac:dyDescent="0.25"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  <c r="AT1027" s="29"/>
      <c r="AU1027" s="29"/>
      <c r="AV1027" s="29"/>
      <c r="AW1027" s="29"/>
      <c r="AX1027" s="29"/>
      <c r="AY1027" s="29"/>
      <c r="AZ1027" s="29"/>
      <c r="BA1027" s="29"/>
      <c r="BB1027" s="29"/>
      <c r="BC1027" s="29"/>
      <c r="BD1027" s="29"/>
      <c r="BE1027" s="29"/>
      <c r="BF1027" s="29"/>
      <c r="BG1027" s="29"/>
      <c r="BH1027" s="29"/>
      <c r="BI1027" s="29"/>
      <c r="BJ1027" s="29"/>
      <c r="BK1027" s="29"/>
      <c r="BL1027" s="29"/>
      <c r="BM1027" s="29"/>
      <c r="BN1027" s="29"/>
      <c r="BO1027" s="29"/>
      <c r="BP1027" s="29"/>
      <c r="BQ1027" s="29"/>
      <c r="BR1027" s="29"/>
      <c r="BS1027" s="29"/>
      <c r="BT1027" s="29"/>
      <c r="BU1027" s="29"/>
    </row>
    <row r="1028" spans="34:73" x14ac:dyDescent="0.25"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  <c r="AT1028" s="29"/>
      <c r="AU1028" s="29"/>
      <c r="AV1028" s="29"/>
      <c r="AW1028" s="29"/>
      <c r="AX1028" s="29"/>
      <c r="AY1028" s="29"/>
      <c r="AZ1028" s="29"/>
      <c r="BA1028" s="29"/>
      <c r="BB1028" s="29"/>
      <c r="BC1028" s="29"/>
      <c r="BD1028" s="29"/>
      <c r="BE1028" s="29"/>
      <c r="BF1028" s="29"/>
      <c r="BG1028" s="29"/>
      <c r="BH1028" s="29"/>
      <c r="BI1028" s="29"/>
      <c r="BJ1028" s="29"/>
      <c r="BK1028" s="29"/>
      <c r="BL1028" s="29"/>
      <c r="BM1028" s="29"/>
      <c r="BN1028" s="29"/>
      <c r="BO1028" s="29"/>
      <c r="BP1028" s="29"/>
      <c r="BQ1028" s="29"/>
      <c r="BR1028" s="29"/>
      <c r="BS1028" s="29"/>
      <c r="BT1028" s="29"/>
      <c r="BU1028" s="29"/>
    </row>
    <row r="1029" spans="34:73" x14ac:dyDescent="0.25"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  <c r="AT1029" s="29"/>
      <c r="AU1029" s="29"/>
      <c r="AV1029" s="29"/>
      <c r="AW1029" s="29"/>
      <c r="AX1029" s="29"/>
      <c r="AY1029" s="29"/>
      <c r="AZ1029" s="29"/>
      <c r="BA1029" s="29"/>
      <c r="BB1029" s="29"/>
      <c r="BC1029" s="29"/>
      <c r="BD1029" s="29"/>
      <c r="BE1029" s="29"/>
      <c r="BF1029" s="29"/>
      <c r="BG1029" s="29"/>
      <c r="BH1029" s="29"/>
      <c r="BI1029" s="29"/>
      <c r="BJ1029" s="29"/>
      <c r="BK1029" s="29"/>
      <c r="BL1029" s="29"/>
      <c r="BM1029" s="29"/>
      <c r="BN1029" s="29"/>
      <c r="BO1029" s="29"/>
      <c r="BP1029" s="29"/>
      <c r="BQ1029" s="29"/>
      <c r="BR1029" s="29"/>
      <c r="BS1029" s="29"/>
      <c r="BT1029" s="29"/>
      <c r="BU1029" s="29"/>
    </row>
    <row r="1030" spans="34:73" x14ac:dyDescent="0.25"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  <c r="AT1030" s="29"/>
      <c r="AU1030" s="29"/>
      <c r="AV1030" s="29"/>
      <c r="AW1030" s="29"/>
      <c r="AX1030" s="29"/>
      <c r="AY1030" s="29"/>
      <c r="AZ1030" s="29"/>
      <c r="BA1030" s="29"/>
      <c r="BB1030" s="29"/>
      <c r="BC1030" s="29"/>
      <c r="BD1030" s="29"/>
      <c r="BE1030" s="29"/>
      <c r="BF1030" s="29"/>
      <c r="BG1030" s="29"/>
      <c r="BH1030" s="29"/>
      <c r="BI1030" s="29"/>
      <c r="BJ1030" s="29"/>
      <c r="BK1030" s="29"/>
      <c r="BL1030" s="29"/>
      <c r="BM1030" s="29"/>
      <c r="BN1030" s="29"/>
      <c r="BO1030" s="29"/>
      <c r="BP1030" s="29"/>
      <c r="BQ1030" s="29"/>
      <c r="BR1030" s="29"/>
      <c r="BS1030" s="29"/>
      <c r="BT1030" s="29"/>
      <c r="BU1030" s="29"/>
    </row>
    <row r="1031" spans="34:73" x14ac:dyDescent="0.25"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  <c r="BB1031" s="29"/>
      <c r="BC1031" s="29"/>
      <c r="BD1031" s="29"/>
      <c r="BE1031" s="29"/>
      <c r="BF1031" s="29"/>
      <c r="BG1031" s="29"/>
      <c r="BH1031" s="29"/>
      <c r="BI1031" s="29"/>
      <c r="BJ1031" s="29"/>
      <c r="BK1031" s="29"/>
      <c r="BL1031" s="29"/>
      <c r="BM1031" s="29"/>
      <c r="BN1031" s="29"/>
      <c r="BO1031" s="29"/>
      <c r="BP1031" s="29"/>
      <c r="BQ1031" s="29"/>
      <c r="BR1031" s="29"/>
      <c r="BS1031" s="29"/>
      <c r="BT1031" s="29"/>
      <c r="BU1031" s="29"/>
    </row>
    <row r="1032" spans="34:73" x14ac:dyDescent="0.25"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  <c r="AT1032" s="29"/>
      <c r="AU1032" s="29"/>
      <c r="AV1032" s="29"/>
      <c r="AW1032" s="29"/>
      <c r="AX1032" s="29"/>
      <c r="AY1032" s="29"/>
      <c r="AZ1032" s="29"/>
      <c r="BA1032" s="29"/>
      <c r="BB1032" s="29"/>
      <c r="BC1032" s="29"/>
      <c r="BD1032" s="29"/>
      <c r="BE1032" s="29"/>
      <c r="BF1032" s="29"/>
      <c r="BG1032" s="29"/>
      <c r="BH1032" s="29"/>
      <c r="BI1032" s="29"/>
      <c r="BJ1032" s="29"/>
      <c r="BK1032" s="29"/>
      <c r="BL1032" s="29"/>
      <c r="BM1032" s="29"/>
      <c r="BN1032" s="29"/>
      <c r="BO1032" s="29"/>
      <c r="BP1032" s="29"/>
      <c r="BQ1032" s="29"/>
      <c r="BR1032" s="29"/>
      <c r="BS1032" s="29"/>
      <c r="BT1032" s="29"/>
      <c r="BU1032" s="29"/>
    </row>
    <row r="1033" spans="34:73" x14ac:dyDescent="0.25"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  <c r="AT1033" s="29"/>
      <c r="AU1033" s="29"/>
      <c r="AV1033" s="29"/>
      <c r="AW1033" s="29"/>
      <c r="AX1033" s="29"/>
      <c r="AY1033" s="29"/>
      <c r="AZ1033" s="29"/>
      <c r="BA1033" s="29"/>
      <c r="BB1033" s="29"/>
      <c r="BC1033" s="29"/>
      <c r="BD1033" s="29"/>
      <c r="BE1033" s="29"/>
      <c r="BF1033" s="29"/>
      <c r="BG1033" s="29"/>
      <c r="BH1033" s="29"/>
      <c r="BI1033" s="29"/>
      <c r="BJ1033" s="29"/>
      <c r="BK1033" s="29"/>
      <c r="BL1033" s="29"/>
      <c r="BM1033" s="29"/>
      <c r="BN1033" s="29"/>
      <c r="BO1033" s="29"/>
      <c r="BP1033" s="29"/>
      <c r="BQ1033" s="29"/>
      <c r="BR1033" s="29"/>
      <c r="BS1033" s="29"/>
      <c r="BT1033" s="29"/>
      <c r="BU1033" s="29"/>
    </row>
    <row r="1034" spans="34:73" x14ac:dyDescent="0.25"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  <c r="AT1034" s="29"/>
      <c r="AU1034" s="29"/>
      <c r="AV1034" s="29"/>
      <c r="AW1034" s="29"/>
      <c r="AX1034" s="29"/>
      <c r="AY1034" s="29"/>
      <c r="AZ1034" s="29"/>
      <c r="BA1034" s="29"/>
      <c r="BB1034" s="29"/>
      <c r="BC1034" s="29"/>
      <c r="BD1034" s="29"/>
      <c r="BE1034" s="29"/>
      <c r="BF1034" s="29"/>
      <c r="BG1034" s="29"/>
      <c r="BH1034" s="29"/>
      <c r="BI1034" s="29"/>
      <c r="BJ1034" s="29"/>
      <c r="BK1034" s="29"/>
      <c r="BL1034" s="29"/>
      <c r="BM1034" s="29"/>
      <c r="BN1034" s="29"/>
      <c r="BO1034" s="29"/>
      <c r="BP1034" s="29"/>
      <c r="BQ1034" s="29"/>
      <c r="BR1034" s="29"/>
      <c r="BS1034" s="29"/>
      <c r="BT1034" s="29"/>
      <c r="BU1034" s="29"/>
    </row>
    <row r="1035" spans="34:73" x14ac:dyDescent="0.25"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  <c r="AT1035" s="29"/>
      <c r="AU1035" s="29"/>
      <c r="AV1035" s="29"/>
      <c r="AW1035" s="29"/>
      <c r="AX1035" s="29"/>
      <c r="AY1035" s="29"/>
      <c r="AZ1035" s="29"/>
      <c r="BA1035" s="29"/>
      <c r="BB1035" s="29"/>
      <c r="BC1035" s="29"/>
      <c r="BD1035" s="29"/>
      <c r="BE1035" s="29"/>
      <c r="BF1035" s="29"/>
      <c r="BG1035" s="29"/>
      <c r="BH1035" s="29"/>
      <c r="BI1035" s="29"/>
      <c r="BJ1035" s="29"/>
      <c r="BK1035" s="29"/>
      <c r="BL1035" s="29"/>
      <c r="BM1035" s="29"/>
      <c r="BN1035" s="29"/>
      <c r="BO1035" s="29"/>
      <c r="BP1035" s="29"/>
      <c r="BQ1035" s="29"/>
      <c r="BR1035" s="29"/>
      <c r="BS1035" s="29"/>
      <c r="BT1035" s="29"/>
      <c r="BU1035" s="29"/>
    </row>
    <row r="1036" spans="34:73" x14ac:dyDescent="0.25"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  <c r="AT1036" s="29"/>
      <c r="AU1036" s="29"/>
      <c r="AV1036" s="29"/>
      <c r="AW1036" s="29"/>
      <c r="AX1036" s="29"/>
      <c r="AY1036" s="29"/>
      <c r="AZ1036" s="29"/>
      <c r="BA1036" s="29"/>
      <c r="BB1036" s="29"/>
      <c r="BC1036" s="29"/>
      <c r="BD1036" s="29"/>
      <c r="BE1036" s="29"/>
      <c r="BF1036" s="29"/>
      <c r="BG1036" s="29"/>
      <c r="BH1036" s="29"/>
      <c r="BI1036" s="29"/>
      <c r="BJ1036" s="29"/>
      <c r="BK1036" s="29"/>
      <c r="BL1036" s="29"/>
      <c r="BM1036" s="29"/>
      <c r="BN1036" s="29"/>
      <c r="BO1036" s="29"/>
      <c r="BP1036" s="29"/>
      <c r="BQ1036" s="29"/>
      <c r="BR1036" s="29"/>
      <c r="BS1036" s="29"/>
      <c r="BT1036" s="29"/>
      <c r="BU1036" s="29"/>
    </row>
    <row r="1037" spans="34:73" x14ac:dyDescent="0.25"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  <c r="BB1037" s="29"/>
      <c r="BC1037" s="29"/>
      <c r="BD1037" s="29"/>
      <c r="BE1037" s="29"/>
      <c r="BF1037" s="29"/>
      <c r="BG1037" s="29"/>
      <c r="BH1037" s="29"/>
      <c r="BI1037" s="29"/>
      <c r="BJ1037" s="29"/>
      <c r="BK1037" s="29"/>
      <c r="BL1037" s="29"/>
      <c r="BM1037" s="29"/>
      <c r="BN1037" s="29"/>
      <c r="BO1037" s="29"/>
      <c r="BP1037" s="29"/>
      <c r="BQ1037" s="29"/>
      <c r="BR1037" s="29"/>
      <c r="BS1037" s="29"/>
      <c r="BT1037" s="29"/>
      <c r="BU1037" s="29"/>
    </row>
    <row r="1038" spans="34:73" x14ac:dyDescent="0.25">
      <c r="AH1038" s="29"/>
      <c r="AI1038" s="29"/>
      <c r="AJ1038" s="29"/>
      <c r="AK1038" s="29"/>
      <c r="AL1038" s="29"/>
      <c r="AM1038" s="29"/>
      <c r="AN1038" s="29"/>
      <c r="AO1038" s="29"/>
      <c r="AP1038" s="29"/>
      <c r="AQ1038" s="29"/>
      <c r="AR1038" s="29"/>
      <c r="AS1038" s="29"/>
      <c r="AT1038" s="29"/>
      <c r="AU1038" s="29"/>
      <c r="AV1038" s="29"/>
      <c r="AW1038" s="29"/>
      <c r="AX1038" s="29"/>
      <c r="AY1038" s="29"/>
      <c r="AZ1038" s="29"/>
      <c r="BA1038" s="29"/>
      <c r="BB1038" s="29"/>
      <c r="BC1038" s="29"/>
      <c r="BD1038" s="29"/>
      <c r="BE1038" s="29"/>
      <c r="BF1038" s="29"/>
      <c r="BG1038" s="29"/>
      <c r="BH1038" s="29"/>
      <c r="BI1038" s="29"/>
      <c r="BJ1038" s="29"/>
      <c r="BK1038" s="29"/>
      <c r="BL1038" s="29"/>
      <c r="BM1038" s="29"/>
      <c r="BN1038" s="29"/>
      <c r="BO1038" s="29"/>
      <c r="BP1038" s="29"/>
      <c r="BQ1038" s="29"/>
      <c r="BR1038" s="29"/>
      <c r="BS1038" s="29"/>
      <c r="BT1038" s="29"/>
      <c r="BU1038" s="29"/>
    </row>
    <row r="1039" spans="34:73" x14ac:dyDescent="0.25">
      <c r="AH1039" s="29"/>
      <c r="AI1039" s="29"/>
      <c r="AJ1039" s="29"/>
      <c r="AK1039" s="29"/>
      <c r="AL1039" s="29"/>
      <c r="AM1039" s="29"/>
      <c r="AN1039" s="29"/>
      <c r="AO1039" s="29"/>
      <c r="AP1039" s="29"/>
      <c r="AQ1039" s="29"/>
      <c r="AR1039" s="29"/>
      <c r="AS1039" s="29"/>
      <c r="AT1039" s="29"/>
      <c r="AU1039" s="29"/>
      <c r="AV1039" s="29"/>
      <c r="AW1039" s="29"/>
      <c r="AX1039" s="29"/>
      <c r="AY1039" s="29"/>
      <c r="AZ1039" s="29"/>
      <c r="BA1039" s="29"/>
      <c r="BB1039" s="29"/>
      <c r="BC1039" s="29"/>
      <c r="BD1039" s="29"/>
      <c r="BE1039" s="29"/>
      <c r="BF1039" s="29"/>
      <c r="BG1039" s="29"/>
      <c r="BH1039" s="29"/>
      <c r="BI1039" s="29"/>
      <c r="BJ1039" s="29"/>
      <c r="BK1039" s="29"/>
      <c r="BL1039" s="29"/>
      <c r="BM1039" s="29"/>
      <c r="BN1039" s="29"/>
      <c r="BO1039" s="29"/>
      <c r="BP1039" s="29"/>
      <c r="BQ1039" s="29"/>
      <c r="BR1039" s="29"/>
      <c r="BS1039" s="29"/>
      <c r="BT1039" s="29"/>
      <c r="BU1039" s="29"/>
    </row>
    <row r="1040" spans="34:73" x14ac:dyDescent="0.25">
      <c r="AH1040" s="29"/>
      <c r="AI1040" s="29"/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  <c r="BB1040" s="29"/>
      <c r="BC1040" s="29"/>
      <c r="BD1040" s="29"/>
      <c r="BE1040" s="29"/>
      <c r="BF1040" s="29"/>
      <c r="BG1040" s="29"/>
      <c r="BH1040" s="29"/>
      <c r="BI1040" s="29"/>
      <c r="BJ1040" s="29"/>
      <c r="BK1040" s="29"/>
      <c r="BL1040" s="29"/>
      <c r="BM1040" s="29"/>
      <c r="BN1040" s="29"/>
      <c r="BO1040" s="29"/>
      <c r="BP1040" s="29"/>
      <c r="BQ1040" s="29"/>
      <c r="BR1040" s="29"/>
      <c r="BS1040" s="29"/>
      <c r="BT1040" s="29"/>
      <c r="BU1040" s="29"/>
    </row>
    <row r="1041" spans="34:73" x14ac:dyDescent="0.25">
      <c r="AH1041" s="29"/>
      <c r="AI1041" s="29"/>
      <c r="AJ1041" s="29"/>
      <c r="AK1041" s="29"/>
      <c r="AL1041" s="29"/>
      <c r="AM1041" s="29"/>
      <c r="AN1041" s="29"/>
      <c r="AO1041" s="29"/>
      <c r="AP1041" s="29"/>
      <c r="AQ1041" s="29"/>
      <c r="AR1041" s="29"/>
      <c r="AS1041" s="29"/>
      <c r="AT1041" s="29"/>
      <c r="AU1041" s="29"/>
      <c r="AV1041" s="29"/>
      <c r="AW1041" s="29"/>
      <c r="AX1041" s="29"/>
      <c r="AY1041" s="29"/>
      <c r="AZ1041" s="29"/>
      <c r="BA1041" s="29"/>
      <c r="BB1041" s="29"/>
      <c r="BC1041" s="29"/>
      <c r="BD1041" s="29"/>
      <c r="BE1041" s="29"/>
      <c r="BF1041" s="29"/>
      <c r="BG1041" s="29"/>
      <c r="BH1041" s="29"/>
      <c r="BI1041" s="29"/>
      <c r="BJ1041" s="29"/>
      <c r="BK1041" s="29"/>
      <c r="BL1041" s="29"/>
      <c r="BM1041" s="29"/>
      <c r="BN1041" s="29"/>
      <c r="BO1041" s="29"/>
      <c r="BP1041" s="29"/>
      <c r="BQ1041" s="29"/>
      <c r="BR1041" s="29"/>
      <c r="BS1041" s="29"/>
      <c r="BT1041" s="29"/>
      <c r="BU1041" s="29"/>
    </row>
    <row r="1042" spans="34:73" x14ac:dyDescent="0.25">
      <c r="AH1042" s="29"/>
      <c r="AI1042" s="29"/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  <c r="BB1042" s="29"/>
      <c r="BC1042" s="29"/>
      <c r="BD1042" s="29"/>
      <c r="BE1042" s="29"/>
      <c r="BF1042" s="29"/>
      <c r="BG1042" s="29"/>
      <c r="BH1042" s="29"/>
      <c r="BI1042" s="29"/>
      <c r="BJ1042" s="29"/>
      <c r="BK1042" s="29"/>
      <c r="BL1042" s="29"/>
      <c r="BM1042" s="29"/>
      <c r="BN1042" s="29"/>
      <c r="BO1042" s="29"/>
      <c r="BP1042" s="29"/>
      <c r="BQ1042" s="29"/>
      <c r="BR1042" s="29"/>
      <c r="BS1042" s="29"/>
      <c r="BT1042" s="29"/>
      <c r="BU1042" s="29"/>
    </row>
    <row r="1043" spans="34:73" x14ac:dyDescent="0.25">
      <c r="AH1043" s="29"/>
      <c r="AI1043" s="29"/>
      <c r="AJ1043" s="29"/>
      <c r="AK1043" s="29"/>
      <c r="AL1043" s="29"/>
      <c r="AM1043" s="29"/>
      <c r="AN1043" s="29"/>
      <c r="AO1043" s="29"/>
      <c r="AP1043" s="29"/>
      <c r="AQ1043" s="29"/>
      <c r="AR1043" s="29"/>
      <c r="AS1043" s="29"/>
      <c r="AT1043" s="29"/>
      <c r="AU1043" s="29"/>
      <c r="AV1043" s="29"/>
      <c r="AW1043" s="29"/>
      <c r="AX1043" s="29"/>
      <c r="AY1043" s="29"/>
      <c r="AZ1043" s="29"/>
      <c r="BA1043" s="29"/>
      <c r="BB1043" s="29"/>
      <c r="BC1043" s="29"/>
      <c r="BD1043" s="29"/>
      <c r="BE1043" s="29"/>
      <c r="BF1043" s="29"/>
      <c r="BG1043" s="29"/>
      <c r="BH1043" s="29"/>
      <c r="BI1043" s="29"/>
      <c r="BJ1043" s="29"/>
      <c r="BK1043" s="29"/>
      <c r="BL1043" s="29"/>
      <c r="BM1043" s="29"/>
      <c r="BN1043" s="29"/>
      <c r="BO1043" s="29"/>
      <c r="BP1043" s="29"/>
      <c r="BQ1043" s="29"/>
      <c r="BR1043" s="29"/>
      <c r="BS1043" s="29"/>
      <c r="BT1043" s="29"/>
      <c r="BU1043" s="29"/>
    </row>
    <row r="1044" spans="34:73" x14ac:dyDescent="0.25">
      <c r="AH1044" s="29"/>
      <c r="AI1044" s="29"/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  <c r="BB1044" s="29"/>
      <c r="BC1044" s="29"/>
      <c r="BD1044" s="29"/>
      <c r="BE1044" s="29"/>
      <c r="BF1044" s="29"/>
      <c r="BG1044" s="29"/>
      <c r="BH1044" s="29"/>
      <c r="BI1044" s="29"/>
      <c r="BJ1044" s="29"/>
      <c r="BK1044" s="29"/>
      <c r="BL1044" s="29"/>
      <c r="BM1044" s="29"/>
      <c r="BN1044" s="29"/>
      <c r="BO1044" s="29"/>
      <c r="BP1044" s="29"/>
      <c r="BQ1044" s="29"/>
      <c r="BR1044" s="29"/>
      <c r="BS1044" s="29"/>
      <c r="BT1044" s="29"/>
      <c r="BU1044" s="29"/>
    </row>
    <row r="1045" spans="34:73" x14ac:dyDescent="0.25">
      <c r="AH1045" s="29"/>
      <c r="AI1045" s="29"/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  <c r="BB1045" s="29"/>
      <c r="BC1045" s="29"/>
      <c r="BD1045" s="29"/>
      <c r="BE1045" s="29"/>
      <c r="BF1045" s="29"/>
      <c r="BG1045" s="29"/>
      <c r="BH1045" s="29"/>
      <c r="BI1045" s="29"/>
      <c r="BJ1045" s="29"/>
      <c r="BK1045" s="29"/>
      <c r="BL1045" s="29"/>
      <c r="BM1045" s="29"/>
      <c r="BN1045" s="29"/>
      <c r="BO1045" s="29"/>
      <c r="BP1045" s="29"/>
      <c r="BQ1045" s="29"/>
      <c r="BR1045" s="29"/>
      <c r="BS1045" s="29"/>
      <c r="BT1045" s="29"/>
      <c r="BU1045" s="29"/>
    </row>
    <row r="1046" spans="34:73" x14ac:dyDescent="0.25">
      <c r="AH1046" s="29"/>
      <c r="AI1046" s="29"/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  <c r="AT1046" s="29"/>
      <c r="AU1046" s="29"/>
      <c r="AV1046" s="29"/>
      <c r="AW1046" s="29"/>
      <c r="AX1046" s="29"/>
      <c r="AY1046" s="29"/>
      <c r="AZ1046" s="29"/>
      <c r="BA1046" s="29"/>
      <c r="BB1046" s="29"/>
      <c r="BC1046" s="29"/>
      <c r="BD1046" s="29"/>
      <c r="BE1046" s="29"/>
      <c r="BF1046" s="29"/>
      <c r="BG1046" s="29"/>
      <c r="BH1046" s="29"/>
      <c r="BI1046" s="29"/>
      <c r="BJ1046" s="29"/>
      <c r="BK1046" s="29"/>
      <c r="BL1046" s="29"/>
      <c r="BM1046" s="29"/>
      <c r="BN1046" s="29"/>
      <c r="BO1046" s="29"/>
      <c r="BP1046" s="29"/>
      <c r="BQ1046" s="29"/>
      <c r="BR1046" s="29"/>
      <c r="BS1046" s="29"/>
      <c r="BT1046" s="29"/>
      <c r="BU1046" s="29"/>
    </row>
    <row r="1047" spans="34:73" x14ac:dyDescent="0.25"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  <c r="BB1047" s="29"/>
      <c r="BC1047" s="29"/>
      <c r="BD1047" s="29"/>
      <c r="BE1047" s="29"/>
      <c r="BF1047" s="29"/>
      <c r="BG1047" s="29"/>
      <c r="BH1047" s="29"/>
      <c r="BI1047" s="29"/>
      <c r="BJ1047" s="29"/>
      <c r="BK1047" s="29"/>
      <c r="BL1047" s="29"/>
      <c r="BM1047" s="29"/>
      <c r="BN1047" s="29"/>
      <c r="BO1047" s="29"/>
      <c r="BP1047" s="29"/>
      <c r="BQ1047" s="29"/>
      <c r="BR1047" s="29"/>
      <c r="BS1047" s="29"/>
      <c r="BT1047" s="29"/>
      <c r="BU1047" s="29"/>
    </row>
    <row r="1048" spans="34:73" x14ac:dyDescent="0.25"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AX1048" s="29"/>
      <c r="AY1048" s="29"/>
      <c r="AZ1048" s="29"/>
      <c r="BA1048" s="29"/>
      <c r="BB1048" s="29"/>
      <c r="BC1048" s="29"/>
      <c r="BD1048" s="29"/>
      <c r="BE1048" s="29"/>
      <c r="BF1048" s="29"/>
      <c r="BG1048" s="29"/>
      <c r="BH1048" s="29"/>
      <c r="BI1048" s="29"/>
      <c r="BJ1048" s="29"/>
      <c r="BK1048" s="29"/>
      <c r="BL1048" s="29"/>
      <c r="BM1048" s="29"/>
      <c r="BN1048" s="29"/>
      <c r="BO1048" s="29"/>
      <c r="BP1048" s="29"/>
      <c r="BQ1048" s="29"/>
      <c r="BR1048" s="29"/>
      <c r="BS1048" s="29"/>
      <c r="BT1048" s="29"/>
      <c r="BU1048" s="29"/>
    </row>
    <row r="1049" spans="34:73" x14ac:dyDescent="0.25">
      <c r="AH1049" s="29"/>
      <c r="AI1049" s="29"/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  <c r="AT1049" s="29"/>
      <c r="AU1049" s="29"/>
      <c r="AV1049" s="29"/>
      <c r="AW1049" s="29"/>
      <c r="AX1049" s="29"/>
      <c r="AY1049" s="29"/>
      <c r="AZ1049" s="29"/>
      <c r="BA1049" s="29"/>
      <c r="BB1049" s="29"/>
      <c r="BC1049" s="29"/>
      <c r="BD1049" s="29"/>
      <c r="BE1049" s="29"/>
      <c r="BF1049" s="29"/>
      <c r="BG1049" s="29"/>
      <c r="BH1049" s="29"/>
      <c r="BI1049" s="29"/>
      <c r="BJ1049" s="29"/>
      <c r="BK1049" s="29"/>
      <c r="BL1049" s="29"/>
      <c r="BM1049" s="29"/>
      <c r="BN1049" s="29"/>
      <c r="BO1049" s="29"/>
      <c r="BP1049" s="29"/>
      <c r="BQ1049" s="29"/>
      <c r="BR1049" s="29"/>
      <c r="BS1049" s="29"/>
      <c r="BT1049" s="29"/>
      <c r="BU1049" s="29"/>
    </row>
    <row r="1050" spans="34:73" x14ac:dyDescent="0.25">
      <c r="AH1050" s="29"/>
      <c r="AI1050" s="29"/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  <c r="AT1050" s="29"/>
      <c r="AU1050" s="29"/>
      <c r="AV1050" s="29"/>
      <c r="AW1050" s="29"/>
      <c r="AX1050" s="29"/>
      <c r="AY1050" s="29"/>
      <c r="AZ1050" s="29"/>
      <c r="BA1050" s="29"/>
      <c r="BB1050" s="29"/>
      <c r="BC1050" s="29"/>
      <c r="BD1050" s="29"/>
      <c r="BE1050" s="29"/>
      <c r="BF1050" s="29"/>
      <c r="BG1050" s="29"/>
      <c r="BH1050" s="29"/>
      <c r="BI1050" s="29"/>
      <c r="BJ1050" s="29"/>
      <c r="BK1050" s="29"/>
      <c r="BL1050" s="29"/>
      <c r="BM1050" s="29"/>
      <c r="BN1050" s="29"/>
      <c r="BO1050" s="29"/>
      <c r="BP1050" s="29"/>
      <c r="BQ1050" s="29"/>
      <c r="BR1050" s="29"/>
      <c r="BS1050" s="29"/>
      <c r="BT1050" s="29"/>
      <c r="BU1050" s="29"/>
    </row>
    <row r="1051" spans="34:73" x14ac:dyDescent="0.25"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  <c r="BB1051" s="29"/>
      <c r="BC1051" s="29"/>
      <c r="BD1051" s="29"/>
      <c r="BE1051" s="29"/>
      <c r="BF1051" s="29"/>
      <c r="BG1051" s="29"/>
      <c r="BH1051" s="29"/>
      <c r="BI1051" s="29"/>
      <c r="BJ1051" s="29"/>
      <c r="BK1051" s="29"/>
      <c r="BL1051" s="29"/>
      <c r="BM1051" s="29"/>
      <c r="BN1051" s="29"/>
      <c r="BO1051" s="29"/>
      <c r="BP1051" s="29"/>
      <c r="BQ1051" s="29"/>
      <c r="BR1051" s="29"/>
      <c r="BS1051" s="29"/>
      <c r="BT1051" s="29"/>
      <c r="BU1051" s="29"/>
    </row>
    <row r="1052" spans="34:73" x14ac:dyDescent="0.25">
      <c r="AH1052" s="29"/>
      <c r="AI1052" s="29"/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  <c r="AT1052" s="29"/>
      <c r="AU1052" s="29"/>
      <c r="AV1052" s="29"/>
      <c r="AW1052" s="29"/>
      <c r="AX1052" s="29"/>
      <c r="AY1052" s="29"/>
      <c r="AZ1052" s="29"/>
      <c r="BA1052" s="29"/>
      <c r="BB1052" s="29"/>
      <c r="BC1052" s="29"/>
      <c r="BD1052" s="29"/>
      <c r="BE1052" s="29"/>
      <c r="BF1052" s="29"/>
      <c r="BG1052" s="29"/>
      <c r="BH1052" s="29"/>
      <c r="BI1052" s="29"/>
      <c r="BJ1052" s="29"/>
      <c r="BK1052" s="29"/>
      <c r="BL1052" s="29"/>
      <c r="BM1052" s="29"/>
      <c r="BN1052" s="29"/>
      <c r="BO1052" s="29"/>
      <c r="BP1052" s="29"/>
      <c r="BQ1052" s="29"/>
      <c r="BR1052" s="29"/>
      <c r="BS1052" s="29"/>
      <c r="BT1052" s="29"/>
      <c r="BU1052" s="29"/>
    </row>
    <row r="1053" spans="34:73" x14ac:dyDescent="0.25">
      <c r="AH1053" s="29"/>
      <c r="AI1053" s="29"/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  <c r="AT1053" s="29"/>
      <c r="AU1053" s="29"/>
      <c r="AV1053" s="29"/>
      <c r="AW1053" s="29"/>
      <c r="AX1053" s="29"/>
      <c r="AY1053" s="29"/>
      <c r="AZ1053" s="29"/>
      <c r="BA1053" s="29"/>
      <c r="BB1053" s="29"/>
      <c r="BC1053" s="29"/>
      <c r="BD1053" s="29"/>
      <c r="BE1053" s="29"/>
      <c r="BF1053" s="29"/>
      <c r="BG1053" s="29"/>
      <c r="BH1053" s="29"/>
      <c r="BI1053" s="29"/>
      <c r="BJ1053" s="29"/>
      <c r="BK1053" s="29"/>
      <c r="BL1053" s="29"/>
      <c r="BM1053" s="29"/>
      <c r="BN1053" s="29"/>
      <c r="BO1053" s="29"/>
      <c r="BP1053" s="29"/>
      <c r="BQ1053" s="29"/>
      <c r="BR1053" s="29"/>
      <c r="BS1053" s="29"/>
      <c r="BT1053" s="29"/>
      <c r="BU1053" s="29"/>
    </row>
    <row r="1054" spans="34:73" x14ac:dyDescent="0.25"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  <c r="BB1054" s="29"/>
      <c r="BC1054" s="29"/>
      <c r="BD1054" s="29"/>
      <c r="BE1054" s="29"/>
      <c r="BF1054" s="29"/>
      <c r="BG1054" s="29"/>
      <c r="BH1054" s="29"/>
      <c r="BI1054" s="29"/>
      <c r="BJ1054" s="29"/>
      <c r="BK1054" s="29"/>
      <c r="BL1054" s="29"/>
      <c r="BM1054" s="29"/>
      <c r="BN1054" s="29"/>
      <c r="BO1054" s="29"/>
      <c r="BP1054" s="29"/>
      <c r="BQ1054" s="29"/>
      <c r="BR1054" s="29"/>
      <c r="BS1054" s="29"/>
      <c r="BT1054" s="29"/>
      <c r="BU1054" s="29"/>
    </row>
    <row r="1055" spans="34:73" x14ac:dyDescent="0.25"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X1055" s="29"/>
      <c r="AY1055" s="29"/>
      <c r="AZ1055" s="29"/>
      <c r="BA1055" s="29"/>
      <c r="BB1055" s="29"/>
      <c r="BC1055" s="29"/>
      <c r="BD1055" s="29"/>
      <c r="BE1055" s="29"/>
      <c r="BF1055" s="29"/>
      <c r="BG1055" s="29"/>
      <c r="BH1055" s="29"/>
      <c r="BI1055" s="29"/>
      <c r="BJ1055" s="29"/>
      <c r="BK1055" s="29"/>
      <c r="BL1055" s="29"/>
      <c r="BM1055" s="29"/>
      <c r="BN1055" s="29"/>
      <c r="BO1055" s="29"/>
      <c r="BP1055" s="29"/>
      <c r="BQ1055" s="29"/>
      <c r="BR1055" s="29"/>
      <c r="BS1055" s="29"/>
      <c r="BT1055" s="29"/>
      <c r="BU1055" s="29"/>
    </row>
    <row r="1056" spans="34:73" x14ac:dyDescent="0.25"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  <c r="BB1056" s="29"/>
      <c r="BC1056" s="29"/>
      <c r="BD1056" s="29"/>
      <c r="BE1056" s="29"/>
      <c r="BF1056" s="29"/>
      <c r="BG1056" s="29"/>
      <c r="BH1056" s="29"/>
      <c r="BI1056" s="29"/>
      <c r="BJ1056" s="29"/>
      <c r="BK1056" s="29"/>
      <c r="BL1056" s="29"/>
      <c r="BM1056" s="29"/>
      <c r="BN1056" s="29"/>
      <c r="BO1056" s="29"/>
      <c r="BP1056" s="29"/>
      <c r="BQ1056" s="29"/>
      <c r="BR1056" s="29"/>
      <c r="BS1056" s="29"/>
      <c r="BT1056" s="29"/>
      <c r="BU1056" s="29"/>
    </row>
    <row r="1057" spans="34:73" x14ac:dyDescent="0.25"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  <c r="AT1057" s="29"/>
      <c r="AU1057" s="29"/>
      <c r="AV1057" s="29"/>
      <c r="AW1057" s="29"/>
      <c r="AX1057" s="29"/>
      <c r="AY1057" s="29"/>
      <c r="AZ1057" s="29"/>
      <c r="BA1057" s="29"/>
      <c r="BB1057" s="29"/>
      <c r="BC1057" s="29"/>
      <c r="BD1057" s="29"/>
      <c r="BE1057" s="29"/>
      <c r="BF1057" s="29"/>
      <c r="BG1057" s="29"/>
      <c r="BH1057" s="29"/>
      <c r="BI1057" s="29"/>
      <c r="BJ1057" s="29"/>
      <c r="BK1057" s="29"/>
      <c r="BL1057" s="29"/>
      <c r="BM1057" s="29"/>
      <c r="BN1057" s="29"/>
      <c r="BO1057" s="29"/>
      <c r="BP1057" s="29"/>
      <c r="BQ1057" s="29"/>
      <c r="BR1057" s="29"/>
      <c r="BS1057" s="29"/>
      <c r="BT1057" s="29"/>
      <c r="BU1057" s="29"/>
    </row>
    <row r="1058" spans="34:73" x14ac:dyDescent="0.25"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X1058" s="29"/>
      <c r="AY1058" s="29"/>
      <c r="AZ1058" s="29"/>
      <c r="BA1058" s="29"/>
      <c r="BB1058" s="29"/>
      <c r="BC1058" s="29"/>
      <c r="BD1058" s="29"/>
      <c r="BE1058" s="29"/>
      <c r="BF1058" s="29"/>
      <c r="BG1058" s="29"/>
      <c r="BH1058" s="29"/>
      <c r="BI1058" s="29"/>
      <c r="BJ1058" s="29"/>
      <c r="BK1058" s="29"/>
      <c r="BL1058" s="29"/>
      <c r="BM1058" s="29"/>
      <c r="BN1058" s="29"/>
      <c r="BO1058" s="29"/>
      <c r="BP1058" s="29"/>
      <c r="BQ1058" s="29"/>
      <c r="BR1058" s="29"/>
      <c r="BS1058" s="29"/>
      <c r="BT1058" s="29"/>
      <c r="BU1058" s="29"/>
    </row>
    <row r="1059" spans="34:73" x14ac:dyDescent="0.25"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X1059" s="29"/>
      <c r="AY1059" s="29"/>
      <c r="AZ1059" s="29"/>
      <c r="BA1059" s="29"/>
      <c r="BB1059" s="29"/>
      <c r="BC1059" s="29"/>
      <c r="BD1059" s="29"/>
      <c r="BE1059" s="29"/>
      <c r="BF1059" s="29"/>
      <c r="BG1059" s="29"/>
      <c r="BH1059" s="29"/>
      <c r="BI1059" s="29"/>
      <c r="BJ1059" s="29"/>
      <c r="BK1059" s="29"/>
      <c r="BL1059" s="29"/>
      <c r="BM1059" s="29"/>
      <c r="BN1059" s="29"/>
      <c r="BO1059" s="29"/>
      <c r="BP1059" s="29"/>
      <c r="BQ1059" s="29"/>
      <c r="BR1059" s="29"/>
      <c r="BS1059" s="29"/>
      <c r="BT1059" s="29"/>
      <c r="BU1059" s="29"/>
    </row>
    <row r="1060" spans="34:73" x14ac:dyDescent="0.25"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  <c r="BB1060" s="29"/>
      <c r="BC1060" s="29"/>
      <c r="BD1060" s="29"/>
      <c r="BE1060" s="29"/>
      <c r="BF1060" s="29"/>
      <c r="BG1060" s="29"/>
      <c r="BH1060" s="29"/>
      <c r="BI1060" s="29"/>
      <c r="BJ1060" s="29"/>
      <c r="BK1060" s="29"/>
      <c r="BL1060" s="29"/>
      <c r="BM1060" s="29"/>
      <c r="BN1060" s="29"/>
      <c r="BO1060" s="29"/>
      <c r="BP1060" s="29"/>
      <c r="BQ1060" s="29"/>
      <c r="BR1060" s="29"/>
      <c r="BS1060" s="29"/>
      <c r="BT1060" s="29"/>
      <c r="BU1060" s="29"/>
    </row>
    <row r="1061" spans="34:73" x14ac:dyDescent="0.25"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  <c r="AY1061" s="29"/>
      <c r="AZ1061" s="29"/>
      <c r="BA1061" s="29"/>
      <c r="BB1061" s="29"/>
      <c r="BC1061" s="29"/>
      <c r="BD1061" s="29"/>
      <c r="BE1061" s="29"/>
      <c r="BF1061" s="29"/>
      <c r="BG1061" s="29"/>
      <c r="BH1061" s="29"/>
      <c r="BI1061" s="29"/>
      <c r="BJ1061" s="29"/>
      <c r="BK1061" s="29"/>
      <c r="BL1061" s="29"/>
      <c r="BM1061" s="29"/>
      <c r="BN1061" s="29"/>
      <c r="BO1061" s="29"/>
      <c r="BP1061" s="29"/>
      <c r="BQ1061" s="29"/>
      <c r="BR1061" s="29"/>
      <c r="BS1061" s="29"/>
      <c r="BT1061" s="29"/>
      <c r="BU1061" s="29"/>
    </row>
    <row r="1062" spans="34:73" x14ac:dyDescent="0.25"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X1062" s="29"/>
      <c r="AY1062" s="29"/>
      <c r="AZ1062" s="29"/>
      <c r="BA1062" s="29"/>
      <c r="BB1062" s="29"/>
      <c r="BC1062" s="29"/>
      <c r="BD1062" s="29"/>
      <c r="BE1062" s="29"/>
      <c r="BF1062" s="29"/>
      <c r="BG1062" s="29"/>
      <c r="BH1062" s="29"/>
      <c r="BI1062" s="29"/>
      <c r="BJ1062" s="29"/>
      <c r="BK1062" s="29"/>
      <c r="BL1062" s="29"/>
      <c r="BM1062" s="29"/>
      <c r="BN1062" s="29"/>
      <c r="BO1062" s="29"/>
      <c r="BP1062" s="29"/>
      <c r="BQ1062" s="29"/>
      <c r="BR1062" s="29"/>
      <c r="BS1062" s="29"/>
      <c r="BT1062" s="29"/>
      <c r="BU1062" s="29"/>
    </row>
    <row r="1063" spans="34:73" x14ac:dyDescent="0.25"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X1063" s="29"/>
      <c r="AY1063" s="29"/>
      <c r="AZ1063" s="29"/>
      <c r="BA1063" s="29"/>
      <c r="BB1063" s="29"/>
      <c r="BC1063" s="29"/>
      <c r="BD1063" s="29"/>
      <c r="BE1063" s="29"/>
      <c r="BF1063" s="29"/>
      <c r="BG1063" s="29"/>
      <c r="BH1063" s="29"/>
      <c r="BI1063" s="29"/>
      <c r="BJ1063" s="29"/>
      <c r="BK1063" s="29"/>
      <c r="BL1063" s="29"/>
      <c r="BM1063" s="29"/>
      <c r="BN1063" s="29"/>
      <c r="BO1063" s="29"/>
      <c r="BP1063" s="29"/>
      <c r="BQ1063" s="29"/>
      <c r="BR1063" s="29"/>
      <c r="BS1063" s="29"/>
      <c r="BT1063" s="29"/>
      <c r="BU1063" s="29"/>
    </row>
    <row r="1064" spans="34:73" x14ac:dyDescent="0.25"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X1064" s="29"/>
      <c r="AY1064" s="29"/>
      <c r="AZ1064" s="29"/>
      <c r="BA1064" s="29"/>
      <c r="BB1064" s="29"/>
      <c r="BC1064" s="29"/>
      <c r="BD1064" s="29"/>
      <c r="BE1064" s="29"/>
      <c r="BF1064" s="29"/>
      <c r="BG1064" s="29"/>
      <c r="BH1064" s="29"/>
      <c r="BI1064" s="29"/>
      <c r="BJ1064" s="29"/>
      <c r="BK1064" s="29"/>
      <c r="BL1064" s="29"/>
      <c r="BM1064" s="29"/>
      <c r="BN1064" s="29"/>
      <c r="BO1064" s="29"/>
      <c r="BP1064" s="29"/>
      <c r="BQ1064" s="29"/>
      <c r="BR1064" s="29"/>
      <c r="BS1064" s="29"/>
      <c r="BT1064" s="29"/>
      <c r="BU1064" s="29"/>
    </row>
    <row r="1065" spans="34:73" x14ac:dyDescent="0.25"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  <c r="AY1065" s="29"/>
      <c r="AZ1065" s="29"/>
      <c r="BA1065" s="29"/>
      <c r="BB1065" s="29"/>
      <c r="BC1065" s="29"/>
      <c r="BD1065" s="29"/>
      <c r="BE1065" s="29"/>
      <c r="BF1065" s="29"/>
      <c r="BG1065" s="29"/>
      <c r="BH1065" s="29"/>
      <c r="BI1065" s="29"/>
      <c r="BJ1065" s="29"/>
      <c r="BK1065" s="29"/>
      <c r="BL1065" s="29"/>
      <c r="BM1065" s="29"/>
      <c r="BN1065" s="29"/>
      <c r="BO1065" s="29"/>
      <c r="BP1065" s="29"/>
      <c r="BQ1065" s="29"/>
      <c r="BR1065" s="29"/>
      <c r="BS1065" s="29"/>
      <c r="BT1065" s="29"/>
      <c r="BU1065" s="29"/>
    </row>
    <row r="1066" spans="34:73" x14ac:dyDescent="0.25"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X1066" s="29"/>
      <c r="AY1066" s="29"/>
      <c r="AZ1066" s="29"/>
      <c r="BA1066" s="29"/>
      <c r="BB1066" s="29"/>
      <c r="BC1066" s="29"/>
      <c r="BD1066" s="29"/>
      <c r="BE1066" s="29"/>
      <c r="BF1066" s="29"/>
      <c r="BG1066" s="29"/>
      <c r="BH1066" s="29"/>
      <c r="BI1066" s="29"/>
      <c r="BJ1066" s="29"/>
      <c r="BK1066" s="29"/>
      <c r="BL1066" s="29"/>
      <c r="BM1066" s="29"/>
      <c r="BN1066" s="29"/>
      <c r="BO1066" s="29"/>
      <c r="BP1066" s="29"/>
      <c r="BQ1066" s="29"/>
      <c r="BR1066" s="29"/>
      <c r="BS1066" s="29"/>
      <c r="BT1066" s="29"/>
      <c r="BU1066" s="29"/>
    </row>
    <row r="1067" spans="34:73" x14ac:dyDescent="0.25"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X1067" s="29"/>
      <c r="AY1067" s="29"/>
      <c r="AZ1067" s="29"/>
      <c r="BA1067" s="29"/>
      <c r="BB1067" s="29"/>
      <c r="BC1067" s="29"/>
      <c r="BD1067" s="29"/>
      <c r="BE1067" s="29"/>
      <c r="BF1067" s="29"/>
      <c r="BG1067" s="29"/>
      <c r="BH1067" s="29"/>
      <c r="BI1067" s="29"/>
      <c r="BJ1067" s="29"/>
      <c r="BK1067" s="29"/>
      <c r="BL1067" s="29"/>
      <c r="BM1067" s="29"/>
      <c r="BN1067" s="29"/>
      <c r="BO1067" s="29"/>
      <c r="BP1067" s="29"/>
      <c r="BQ1067" s="29"/>
      <c r="BR1067" s="29"/>
      <c r="BS1067" s="29"/>
      <c r="BT1067" s="29"/>
      <c r="BU1067" s="29"/>
    </row>
    <row r="1068" spans="34:73" x14ac:dyDescent="0.25"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  <c r="AY1068" s="29"/>
      <c r="AZ1068" s="29"/>
      <c r="BA1068" s="29"/>
      <c r="BB1068" s="29"/>
      <c r="BC1068" s="29"/>
      <c r="BD1068" s="29"/>
      <c r="BE1068" s="29"/>
      <c r="BF1068" s="29"/>
      <c r="BG1068" s="29"/>
      <c r="BH1068" s="29"/>
      <c r="BI1068" s="29"/>
      <c r="BJ1068" s="29"/>
      <c r="BK1068" s="29"/>
      <c r="BL1068" s="29"/>
      <c r="BM1068" s="29"/>
      <c r="BN1068" s="29"/>
      <c r="BO1068" s="29"/>
      <c r="BP1068" s="29"/>
      <c r="BQ1068" s="29"/>
      <c r="BR1068" s="29"/>
      <c r="BS1068" s="29"/>
      <c r="BT1068" s="29"/>
      <c r="BU1068" s="29"/>
    </row>
    <row r="1069" spans="34:73" x14ac:dyDescent="0.25"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X1069" s="29"/>
      <c r="AY1069" s="29"/>
      <c r="AZ1069" s="29"/>
      <c r="BA1069" s="29"/>
      <c r="BB1069" s="29"/>
      <c r="BC1069" s="29"/>
      <c r="BD1069" s="29"/>
      <c r="BE1069" s="29"/>
      <c r="BF1069" s="29"/>
      <c r="BG1069" s="29"/>
      <c r="BH1069" s="29"/>
      <c r="BI1069" s="29"/>
      <c r="BJ1069" s="29"/>
      <c r="BK1069" s="29"/>
      <c r="BL1069" s="29"/>
      <c r="BM1069" s="29"/>
      <c r="BN1069" s="29"/>
      <c r="BO1069" s="29"/>
      <c r="BP1069" s="29"/>
      <c r="BQ1069" s="29"/>
      <c r="BR1069" s="29"/>
      <c r="BS1069" s="29"/>
      <c r="BT1069" s="29"/>
      <c r="BU1069" s="29"/>
    </row>
    <row r="1070" spans="34:73" x14ac:dyDescent="0.25"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  <c r="AZ1070" s="29"/>
      <c r="BA1070" s="29"/>
      <c r="BB1070" s="29"/>
      <c r="BC1070" s="29"/>
      <c r="BD1070" s="29"/>
      <c r="BE1070" s="29"/>
      <c r="BF1070" s="29"/>
      <c r="BG1070" s="29"/>
      <c r="BH1070" s="29"/>
      <c r="BI1070" s="29"/>
      <c r="BJ1070" s="29"/>
      <c r="BK1070" s="29"/>
      <c r="BL1070" s="29"/>
      <c r="BM1070" s="29"/>
      <c r="BN1070" s="29"/>
      <c r="BO1070" s="29"/>
      <c r="BP1070" s="29"/>
      <c r="BQ1070" s="29"/>
      <c r="BR1070" s="29"/>
      <c r="BS1070" s="29"/>
      <c r="BT1070" s="29"/>
      <c r="BU1070" s="29"/>
    </row>
    <row r="1071" spans="34:73" x14ac:dyDescent="0.25"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  <c r="AY1071" s="29"/>
      <c r="AZ1071" s="29"/>
      <c r="BA1071" s="29"/>
      <c r="BB1071" s="29"/>
      <c r="BC1071" s="29"/>
      <c r="BD1071" s="29"/>
      <c r="BE1071" s="29"/>
      <c r="BF1071" s="29"/>
      <c r="BG1071" s="29"/>
      <c r="BH1071" s="29"/>
      <c r="BI1071" s="29"/>
      <c r="BJ1071" s="29"/>
      <c r="BK1071" s="29"/>
      <c r="BL1071" s="29"/>
      <c r="BM1071" s="29"/>
      <c r="BN1071" s="29"/>
      <c r="BO1071" s="29"/>
      <c r="BP1071" s="29"/>
      <c r="BQ1071" s="29"/>
      <c r="BR1071" s="29"/>
      <c r="BS1071" s="29"/>
      <c r="BT1071" s="29"/>
      <c r="BU1071" s="29"/>
    </row>
    <row r="1072" spans="34:73" x14ac:dyDescent="0.25"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  <c r="AY1072" s="29"/>
      <c r="AZ1072" s="29"/>
      <c r="BA1072" s="29"/>
      <c r="BB1072" s="29"/>
      <c r="BC1072" s="29"/>
      <c r="BD1072" s="29"/>
      <c r="BE1072" s="29"/>
      <c r="BF1072" s="29"/>
      <c r="BG1072" s="29"/>
      <c r="BH1072" s="29"/>
      <c r="BI1072" s="29"/>
      <c r="BJ1072" s="29"/>
      <c r="BK1072" s="29"/>
      <c r="BL1072" s="29"/>
      <c r="BM1072" s="29"/>
      <c r="BN1072" s="29"/>
      <c r="BO1072" s="29"/>
      <c r="BP1072" s="29"/>
      <c r="BQ1072" s="29"/>
      <c r="BR1072" s="29"/>
      <c r="BS1072" s="29"/>
      <c r="BT1072" s="29"/>
      <c r="BU1072" s="29"/>
    </row>
    <row r="1073" spans="34:73" x14ac:dyDescent="0.25"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  <c r="AZ1073" s="29"/>
      <c r="BA1073" s="29"/>
      <c r="BB1073" s="29"/>
      <c r="BC1073" s="29"/>
      <c r="BD1073" s="29"/>
      <c r="BE1073" s="29"/>
      <c r="BF1073" s="29"/>
      <c r="BG1073" s="29"/>
      <c r="BH1073" s="29"/>
      <c r="BI1073" s="29"/>
      <c r="BJ1073" s="29"/>
      <c r="BK1073" s="29"/>
      <c r="BL1073" s="29"/>
      <c r="BM1073" s="29"/>
      <c r="BN1073" s="29"/>
      <c r="BO1073" s="29"/>
      <c r="BP1073" s="29"/>
      <c r="BQ1073" s="29"/>
      <c r="BR1073" s="29"/>
      <c r="BS1073" s="29"/>
      <c r="BT1073" s="29"/>
      <c r="BU1073" s="29"/>
    </row>
    <row r="1074" spans="34:73" x14ac:dyDescent="0.25"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29"/>
      <c r="BE1074" s="29"/>
      <c r="BF1074" s="29"/>
      <c r="BG1074" s="29"/>
      <c r="BH1074" s="29"/>
      <c r="BI1074" s="29"/>
      <c r="BJ1074" s="29"/>
      <c r="BK1074" s="29"/>
      <c r="BL1074" s="29"/>
      <c r="BM1074" s="29"/>
      <c r="BN1074" s="29"/>
      <c r="BO1074" s="29"/>
      <c r="BP1074" s="29"/>
      <c r="BQ1074" s="29"/>
      <c r="BR1074" s="29"/>
      <c r="BS1074" s="29"/>
      <c r="BT1074" s="29"/>
      <c r="BU1074" s="29"/>
    </row>
    <row r="1075" spans="34:73" x14ac:dyDescent="0.25"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  <c r="AY1075" s="29"/>
      <c r="AZ1075" s="29"/>
      <c r="BA1075" s="29"/>
      <c r="BB1075" s="29"/>
      <c r="BC1075" s="29"/>
      <c r="BD1075" s="29"/>
      <c r="BE1075" s="29"/>
      <c r="BF1075" s="29"/>
      <c r="BG1075" s="29"/>
      <c r="BH1075" s="29"/>
      <c r="BI1075" s="29"/>
      <c r="BJ1075" s="29"/>
      <c r="BK1075" s="29"/>
      <c r="BL1075" s="29"/>
      <c r="BM1075" s="29"/>
      <c r="BN1075" s="29"/>
      <c r="BO1075" s="29"/>
      <c r="BP1075" s="29"/>
      <c r="BQ1075" s="29"/>
      <c r="BR1075" s="29"/>
      <c r="BS1075" s="29"/>
      <c r="BT1075" s="29"/>
      <c r="BU1075" s="29"/>
    </row>
    <row r="1076" spans="34:73" x14ac:dyDescent="0.25"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  <c r="AY1076" s="29"/>
      <c r="AZ1076" s="29"/>
      <c r="BA1076" s="29"/>
      <c r="BB1076" s="29"/>
      <c r="BC1076" s="29"/>
      <c r="BD1076" s="29"/>
      <c r="BE1076" s="29"/>
      <c r="BF1076" s="29"/>
      <c r="BG1076" s="29"/>
      <c r="BH1076" s="29"/>
      <c r="BI1076" s="29"/>
      <c r="BJ1076" s="29"/>
      <c r="BK1076" s="29"/>
      <c r="BL1076" s="29"/>
      <c r="BM1076" s="29"/>
      <c r="BN1076" s="29"/>
      <c r="BO1076" s="29"/>
      <c r="BP1076" s="29"/>
      <c r="BQ1076" s="29"/>
      <c r="BR1076" s="29"/>
      <c r="BS1076" s="29"/>
      <c r="BT1076" s="29"/>
      <c r="BU1076" s="29"/>
    </row>
    <row r="1077" spans="34:73" x14ac:dyDescent="0.25"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X1077" s="29"/>
      <c r="AY1077" s="29"/>
      <c r="AZ1077" s="29"/>
      <c r="BA1077" s="29"/>
      <c r="BB1077" s="29"/>
      <c r="BC1077" s="29"/>
      <c r="BD1077" s="29"/>
      <c r="BE1077" s="29"/>
      <c r="BF1077" s="29"/>
      <c r="BG1077" s="29"/>
      <c r="BH1077" s="29"/>
      <c r="BI1077" s="29"/>
      <c r="BJ1077" s="29"/>
      <c r="BK1077" s="29"/>
      <c r="BL1077" s="29"/>
      <c r="BM1077" s="29"/>
      <c r="BN1077" s="29"/>
      <c r="BO1077" s="29"/>
      <c r="BP1077" s="29"/>
      <c r="BQ1077" s="29"/>
      <c r="BR1077" s="29"/>
      <c r="BS1077" s="29"/>
      <c r="BT1077" s="29"/>
      <c r="BU1077" s="29"/>
    </row>
    <row r="1078" spans="34:73" x14ac:dyDescent="0.25"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  <c r="AY1078" s="29"/>
      <c r="AZ1078" s="29"/>
      <c r="BA1078" s="29"/>
      <c r="BB1078" s="29"/>
      <c r="BC1078" s="29"/>
      <c r="BD1078" s="29"/>
      <c r="BE1078" s="29"/>
      <c r="BF1078" s="29"/>
      <c r="BG1078" s="29"/>
      <c r="BH1078" s="29"/>
      <c r="BI1078" s="29"/>
      <c r="BJ1078" s="29"/>
      <c r="BK1078" s="29"/>
      <c r="BL1078" s="29"/>
      <c r="BM1078" s="29"/>
      <c r="BN1078" s="29"/>
      <c r="BO1078" s="29"/>
      <c r="BP1078" s="29"/>
      <c r="BQ1078" s="29"/>
      <c r="BR1078" s="29"/>
      <c r="BS1078" s="29"/>
      <c r="BT1078" s="29"/>
      <c r="BU1078" s="29"/>
    </row>
    <row r="1079" spans="34:73" x14ac:dyDescent="0.25"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  <c r="AY1079" s="29"/>
      <c r="AZ1079" s="29"/>
      <c r="BA1079" s="29"/>
      <c r="BB1079" s="29"/>
      <c r="BC1079" s="29"/>
      <c r="BD1079" s="29"/>
      <c r="BE1079" s="29"/>
      <c r="BF1079" s="29"/>
      <c r="BG1079" s="29"/>
      <c r="BH1079" s="29"/>
      <c r="BI1079" s="29"/>
      <c r="BJ1079" s="29"/>
      <c r="BK1079" s="29"/>
      <c r="BL1079" s="29"/>
      <c r="BM1079" s="29"/>
      <c r="BN1079" s="29"/>
      <c r="BO1079" s="29"/>
      <c r="BP1079" s="29"/>
      <c r="BQ1079" s="29"/>
      <c r="BR1079" s="29"/>
      <c r="BS1079" s="29"/>
      <c r="BT1079" s="29"/>
      <c r="BU1079" s="29"/>
    </row>
    <row r="1080" spans="34:73" x14ac:dyDescent="0.25"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X1080" s="29"/>
      <c r="AY1080" s="29"/>
      <c r="AZ1080" s="29"/>
      <c r="BA1080" s="29"/>
      <c r="BB1080" s="29"/>
      <c r="BC1080" s="29"/>
      <c r="BD1080" s="29"/>
      <c r="BE1080" s="29"/>
      <c r="BF1080" s="29"/>
      <c r="BG1080" s="29"/>
      <c r="BH1080" s="29"/>
      <c r="BI1080" s="29"/>
      <c r="BJ1080" s="29"/>
      <c r="BK1080" s="29"/>
      <c r="BL1080" s="29"/>
      <c r="BM1080" s="29"/>
      <c r="BN1080" s="29"/>
      <c r="BO1080" s="29"/>
      <c r="BP1080" s="29"/>
      <c r="BQ1080" s="29"/>
      <c r="BR1080" s="29"/>
      <c r="BS1080" s="29"/>
      <c r="BT1080" s="29"/>
      <c r="BU1080" s="29"/>
    </row>
    <row r="1081" spans="34:73" x14ac:dyDescent="0.25"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X1081" s="29"/>
      <c r="AY1081" s="29"/>
      <c r="AZ1081" s="29"/>
      <c r="BA1081" s="29"/>
      <c r="BB1081" s="29"/>
      <c r="BC1081" s="29"/>
      <c r="BD1081" s="29"/>
      <c r="BE1081" s="29"/>
      <c r="BF1081" s="29"/>
      <c r="BG1081" s="29"/>
      <c r="BH1081" s="29"/>
      <c r="BI1081" s="29"/>
      <c r="BJ1081" s="29"/>
      <c r="BK1081" s="29"/>
      <c r="BL1081" s="29"/>
      <c r="BM1081" s="29"/>
      <c r="BN1081" s="29"/>
      <c r="BO1081" s="29"/>
      <c r="BP1081" s="29"/>
      <c r="BQ1081" s="29"/>
      <c r="BR1081" s="29"/>
      <c r="BS1081" s="29"/>
      <c r="BT1081" s="29"/>
      <c r="BU1081" s="29"/>
    </row>
    <row r="1082" spans="34:73" x14ac:dyDescent="0.25"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  <c r="AY1082" s="29"/>
      <c r="AZ1082" s="29"/>
      <c r="BA1082" s="29"/>
      <c r="BB1082" s="29"/>
      <c r="BC1082" s="29"/>
      <c r="BD1082" s="29"/>
      <c r="BE1082" s="29"/>
      <c r="BF1082" s="29"/>
      <c r="BG1082" s="29"/>
      <c r="BH1082" s="29"/>
      <c r="BI1082" s="29"/>
      <c r="BJ1082" s="29"/>
      <c r="BK1082" s="29"/>
      <c r="BL1082" s="29"/>
      <c r="BM1082" s="29"/>
      <c r="BN1082" s="29"/>
      <c r="BO1082" s="29"/>
      <c r="BP1082" s="29"/>
      <c r="BQ1082" s="29"/>
      <c r="BR1082" s="29"/>
      <c r="BS1082" s="29"/>
      <c r="BT1082" s="29"/>
      <c r="BU1082" s="29"/>
    </row>
    <row r="1083" spans="34:73" x14ac:dyDescent="0.25"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  <c r="AY1083" s="29"/>
      <c r="AZ1083" s="29"/>
      <c r="BA1083" s="29"/>
      <c r="BB1083" s="29"/>
      <c r="BC1083" s="29"/>
      <c r="BD1083" s="29"/>
      <c r="BE1083" s="29"/>
      <c r="BF1083" s="29"/>
      <c r="BG1083" s="29"/>
      <c r="BH1083" s="29"/>
      <c r="BI1083" s="29"/>
      <c r="BJ1083" s="29"/>
      <c r="BK1083" s="29"/>
      <c r="BL1083" s="29"/>
      <c r="BM1083" s="29"/>
      <c r="BN1083" s="29"/>
      <c r="BO1083" s="29"/>
      <c r="BP1083" s="29"/>
      <c r="BQ1083" s="29"/>
      <c r="BR1083" s="29"/>
      <c r="BS1083" s="29"/>
      <c r="BT1083" s="29"/>
      <c r="BU1083" s="29"/>
    </row>
    <row r="1084" spans="34:73" x14ac:dyDescent="0.25"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X1084" s="29"/>
      <c r="AY1084" s="29"/>
      <c r="AZ1084" s="29"/>
      <c r="BA1084" s="29"/>
      <c r="BB1084" s="29"/>
      <c r="BC1084" s="29"/>
      <c r="BD1084" s="29"/>
      <c r="BE1084" s="29"/>
      <c r="BF1084" s="29"/>
      <c r="BG1084" s="29"/>
      <c r="BH1084" s="29"/>
      <c r="BI1084" s="29"/>
      <c r="BJ1084" s="29"/>
      <c r="BK1084" s="29"/>
      <c r="BL1084" s="29"/>
      <c r="BM1084" s="29"/>
      <c r="BN1084" s="29"/>
      <c r="BO1084" s="29"/>
      <c r="BP1084" s="29"/>
      <c r="BQ1084" s="29"/>
      <c r="BR1084" s="29"/>
      <c r="BS1084" s="29"/>
      <c r="BT1084" s="29"/>
      <c r="BU1084" s="29"/>
    </row>
    <row r="1085" spans="34:73" x14ac:dyDescent="0.25"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X1085" s="29"/>
      <c r="AY1085" s="29"/>
      <c r="AZ1085" s="29"/>
      <c r="BA1085" s="29"/>
      <c r="BB1085" s="29"/>
      <c r="BC1085" s="29"/>
      <c r="BD1085" s="29"/>
      <c r="BE1085" s="29"/>
      <c r="BF1085" s="29"/>
      <c r="BG1085" s="29"/>
      <c r="BH1085" s="29"/>
      <c r="BI1085" s="29"/>
      <c r="BJ1085" s="29"/>
      <c r="BK1085" s="29"/>
      <c r="BL1085" s="29"/>
      <c r="BM1085" s="29"/>
      <c r="BN1085" s="29"/>
      <c r="BO1085" s="29"/>
      <c r="BP1085" s="29"/>
      <c r="BQ1085" s="29"/>
      <c r="BR1085" s="29"/>
      <c r="BS1085" s="29"/>
      <c r="BT1085" s="29"/>
      <c r="BU1085" s="29"/>
    </row>
    <row r="1086" spans="34:73" x14ac:dyDescent="0.25"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  <c r="AY1086" s="29"/>
      <c r="AZ1086" s="29"/>
      <c r="BA1086" s="29"/>
      <c r="BB1086" s="29"/>
      <c r="BC1086" s="29"/>
      <c r="BD1086" s="29"/>
      <c r="BE1086" s="29"/>
      <c r="BF1086" s="29"/>
      <c r="BG1086" s="29"/>
      <c r="BH1086" s="29"/>
      <c r="BI1086" s="29"/>
      <c r="BJ1086" s="29"/>
      <c r="BK1086" s="29"/>
      <c r="BL1086" s="29"/>
      <c r="BM1086" s="29"/>
      <c r="BN1086" s="29"/>
      <c r="BO1086" s="29"/>
      <c r="BP1086" s="29"/>
      <c r="BQ1086" s="29"/>
      <c r="BR1086" s="29"/>
      <c r="BS1086" s="29"/>
      <c r="BT1086" s="29"/>
      <c r="BU1086" s="29"/>
    </row>
    <row r="1087" spans="34:73" x14ac:dyDescent="0.25"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X1087" s="29"/>
      <c r="AY1087" s="29"/>
      <c r="AZ1087" s="29"/>
      <c r="BA1087" s="29"/>
      <c r="BB1087" s="29"/>
      <c r="BC1087" s="29"/>
      <c r="BD1087" s="29"/>
      <c r="BE1087" s="29"/>
      <c r="BF1087" s="29"/>
      <c r="BG1087" s="29"/>
      <c r="BH1087" s="29"/>
      <c r="BI1087" s="29"/>
      <c r="BJ1087" s="29"/>
      <c r="BK1087" s="29"/>
      <c r="BL1087" s="29"/>
      <c r="BM1087" s="29"/>
      <c r="BN1087" s="29"/>
      <c r="BO1087" s="29"/>
      <c r="BP1087" s="29"/>
      <c r="BQ1087" s="29"/>
      <c r="BR1087" s="29"/>
      <c r="BS1087" s="29"/>
      <c r="BT1087" s="29"/>
      <c r="BU1087" s="29"/>
    </row>
    <row r="1088" spans="34:73" x14ac:dyDescent="0.25"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X1088" s="29"/>
      <c r="AY1088" s="29"/>
      <c r="AZ1088" s="29"/>
      <c r="BA1088" s="29"/>
      <c r="BB1088" s="29"/>
      <c r="BC1088" s="29"/>
      <c r="BD1088" s="29"/>
      <c r="BE1088" s="29"/>
      <c r="BF1088" s="29"/>
      <c r="BG1088" s="29"/>
      <c r="BH1088" s="29"/>
      <c r="BI1088" s="29"/>
      <c r="BJ1088" s="29"/>
      <c r="BK1088" s="29"/>
      <c r="BL1088" s="29"/>
      <c r="BM1088" s="29"/>
      <c r="BN1088" s="29"/>
      <c r="BO1088" s="29"/>
      <c r="BP1088" s="29"/>
      <c r="BQ1088" s="29"/>
      <c r="BR1088" s="29"/>
      <c r="BS1088" s="29"/>
      <c r="BT1088" s="29"/>
      <c r="BU1088" s="29"/>
    </row>
    <row r="1089" spans="34:73" x14ac:dyDescent="0.25"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X1089" s="29"/>
      <c r="AY1089" s="29"/>
      <c r="AZ1089" s="29"/>
      <c r="BA1089" s="29"/>
      <c r="BB1089" s="29"/>
      <c r="BC1089" s="29"/>
      <c r="BD1089" s="29"/>
      <c r="BE1089" s="29"/>
      <c r="BF1089" s="29"/>
      <c r="BG1089" s="29"/>
      <c r="BH1089" s="29"/>
      <c r="BI1089" s="29"/>
      <c r="BJ1089" s="29"/>
      <c r="BK1089" s="29"/>
      <c r="BL1089" s="29"/>
      <c r="BM1089" s="29"/>
      <c r="BN1089" s="29"/>
      <c r="BO1089" s="29"/>
      <c r="BP1089" s="29"/>
      <c r="BQ1089" s="29"/>
      <c r="BR1089" s="29"/>
      <c r="BS1089" s="29"/>
      <c r="BT1089" s="29"/>
      <c r="BU1089" s="29"/>
    </row>
    <row r="1090" spans="34:73" x14ac:dyDescent="0.25"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X1090" s="29"/>
      <c r="AY1090" s="29"/>
      <c r="AZ1090" s="29"/>
      <c r="BA1090" s="29"/>
      <c r="BB1090" s="29"/>
      <c r="BC1090" s="29"/>
      <c r="BD1090" s="29"/>
      <c r="BE1090" s="29"/>
      <c r="BF1090" s="29"/>
      <c r="BG1090" s="29"/>
      <c r="BH1090" s="29"/>
      <c r="BI1090" s="29"/>
      <c r="BJ1090" s="29"/>
      <c r="BK1090" s="29"/>
      <c r="BL1090" s="29"/>
      <c r="BM1090" s="29"/>
      <c r="BN1090" s="29"/>
      <c r="BO1090" s="29"/>
      <c r="BP1090" s="29"/>
      <c r="BQ1090" s="29"/>
      <c r="BR1090" s="29"/>
      <c r="BS1090" s="29"/>
      <c r="BT1090" s="29"/>
      <c r="BU1090" s="29"/>
    </row>
    <row r="1091" spans="34:73" x14ac:dyDescent="0.25"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X1091" s="29"/>
      <c r="AY1091" s="29"/>
      <c r="AZ1091" s="29"/>
      <c r="BA1091" s="29"/>
      <c r="BB1091" s="29"/>
      <c r="BC1091" s="29"/>
      <c r="BD1091" s="29"/>
      <c r="BE1091" s="29"/>
      <c r="BF1091" s="29"/>
      <c r="BG1091" s="29"/>
      <c r="BH1091" s="29"/>
      <c r="BI1091" s="29"/>
      <c r="BJ1091" s="29"/>
      <c r="BK1091" s="29"/>
      <c r="BL1091" s="29"/>
      <c r="BM1091" s="29"/>
      <c r="BN1091" s="29"/>
      <c r="BO1091" s="29"/>
      <c r="BP1091" s="29"/>
      <c r="BQ1091" s="29"/>
      <c r="BR1091" s="29"/>
      <c r="BS1091" s="29"/>
      <c r="BT1091" s="29"/>
      <c r="BU1091" s="29"/>
    </row>
    <row r="1092" spans="34:73" x14ac:dyDescent="0.25"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29"/>
      <c r="BD1092" s="29"/>
      <c r="BE1092" s="29"/>
      <c r="BF1092" s="29"/>
      <c r="BG1092" s="29"/>
      <c r="BH1092" s="29"/>
      <c r="BI1092" s="29"/>
      <c r="BJ1092" s="29"/>
      <c r="BK1092" s="29"/>
      <c r="BL1092" s="29"/>
      <c r="BM1092" s="29"/>
      <c r="BN1092" s="29"/>
      <c r="BO1092" s="29"/>
      <c r="BP1092" s="29"/>
      <c r="BQ1092" s="29"/>
      <c r="BR1092" s="29"/>
      <c r="BS1092" s="29"/>
      <c r="BT1092" s="29"/>
      <c r="BU1092" s="29"/>
    </row>
    <row r="1093" spans="34:73" x14ac:dyDescent="0.25"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X1093" s="29"/>
      <c r="AY1093" s="29"/>
      <c r="AZ1093" s="29"/>
      <c r="BA1093" s="29"/>
      <c r="BB1093" s="29"/>
      <c r="BC1093" s="29"/>
      <c r="BD1093" s="29"/>
      <c r="BE1093" s="29"/>
      <c r="BF1093" s="29"/>
      <c r="BG1093" s="29"/>
      <c r="BH1093" s="29"/>
      <c r="BI1093" s="29"/>
      <c r="BJ1093" s="29"/>
      <c r="BK1093" s="29"/>
      <c r="BL1093" s="29"/>
      <c r="BM1093" s="29"/>
      <c r="BN1093" s="29"/>
      <c r="BO1093" s="29"/>
      <c r="BP1093" s="29"/>
      <c r="BQ1093" s="29"/>
      <c r="BR1093" s="29"/>
      <c r="BS1093" s="29"/>
      <c r="BT1093" s="29"/>
      <c r="BU1093" s="29"/>
    </row>
    <row r="1094" spans="34:73" x14ac:dyDescent="0.25"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  <c r="AY1094" s="29"/>
      <c r="AZ1094" s="29"/>
      <c r="BA1094" s="29"/>
      <c r="BB1094" s="29"/>
      <c r="BC1094" s="29"/>
      <c r="BD1094" s="29"/>
      <c r="BE1094" s="29"/>
      <c r="BF1094" s="29"/>
      <c r="BG1094" s="29"/>
      <c r="BH1094" s="29"/>
      <c r="BI1094" s="29"/>
      <c r="BJ1094" s="29"/>
      <c r="BK1094" s="29"/>
      <c r="BL1094" s="29"/>
      <c r="BM1094" s="29"/>
      <c r="BN1094" s="29"/>
      <c r="BO1094" s="29"/>
      <c r="BP1094" s="29"/>
      <c r="BQ1094" s="29"/>
      <c r="BR1094" s="29"/>
      <c r="BS1094" s="29"/>
      <c r="BT1094" s="29"/>
      <c r="BU1094" s="29"/>
    </row>
    <row r="1095" spans="34:73" x14ac:dyDescent="0.25"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29"/>
      <c r="BD1095" s="29"/>
      <c r="BE1095" s="29"/>
      <c r="BF1095" s="29"/>
      <c r="BG1095" s="29"/>
      <c r="BH1095" s="29"/>
      <c r="BI1095" s="29"/>
      <c r="BJ1095" s="29"/>
      <c r="BK1095" s="29"/>
      <c r="BL1095" s="29"/>
      <c r="BM1095" s="29"/>
      <c r="BN1095" s="29"/>
      <c r="BO1095" s="29"/>
      <c r="BP1095" s="29"/>
      <c r="BQ1095" s="29"/>
      <c r="BR1095" s="29"/>
      <c r="BS1095" s="29"/>
      <c r="BT1095" s="29"/>
      <c r="BU1095" s="29"/>
    </row>
    <row r="1096" spans="34:73" x14ac:dyDescent="0.25"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29"/>
      <c r="BE1096" s="29"/>
      <c r="BF1096" s="29"/>
      <c r="BG1096" s="29"/>
      <c r="BH1096" s="29"/>
      <c r="BI1096" s="29"/>
      <c r="BJ1096" s="29"/>
      <c r="BK1096" s="29"/>
      <c r="BL1096" s="29"/>
      <c r="BM1096" s="29"/>
      <c r="BN1096" s="29"/>
      <c r="BO1096" s="29"/>
      <c r="BP1096" s="29"/>
      <c r="BQ1096" s="29"/>
      <c r="BR1096" s="29"/>
      <c r="BS1096" s="29"/>
      <c r="BT1096" s="29"/>
      <c r="BU1096" s="29"/>
    </row>
    <row r="1097" spans="34:73" x14ac:dyDescent="0.25"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  <c r="AY1097" s="29"/>
      <c r="AZ1097" s="29"/>
      <c r="BA1097" s="29"/>
      <c r="BB1097" s="29"/>
      <c r="BC1097" s="29"/>
      <c r="BD1097" s="29"/>
      <c r="BE1097" s="29"/>
      <c r="BF1097" s="29"/>
      <c r="BG1097" s="29"/>
      <c r="BH1097" s="29"/>
      <c r="BI1097" s="29"/>
      <c r="BJ1097" s="29"/>
      <c r="BK1097" s="29"/>
      <c r="BL1097" s="29"/>
      <c r="BM1097" s="29"/>
      <c r="BN1097" s="29"/>
      <c r="BO1097" s="29"/>
      <c r="BP1097" s="29"/>
      <c r="BQ1097" s="29"/>
      <c r="BR1097" s="29"/>
      <c r="BS1097" s="29"/>
      <c r="BT1097" s="29"/>
      <c r="BU1097" s="29"/>
    </row>
    <row r="1098" spans="34:73" x14ac:dyDescent="0.25"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X1098" s="29"/>
      <c r="AY1098" s="29"/>
      <c r="AZ1098" s="29"/>
      <c r="BA1098" s="29"/>
      <c r="BB1098" s="29"/>
      <c r="BC1098" s="29"/>
      <c r="BD1098" s="29"/>
      <c r="BE1098" s="29"/>
      <c r="BF1098" s="29"/>
      <c r="BG1098" s="29"/>
      <c r="BH1098" s="29"/>
      <c r="BI1098" s="29"/>
      <c r="BJ1098" s="29"/>
      <c r="BK1098" s="29"/>
      <c r="BL1098" s="29"/>
      <c r="BM1098" s="29"/>
      <c r="BN1098" s="29"/>
      <c r="BO1098" s="29"/>
      <c r="BP1098" s="29"/>
      <c r="BQ1098" s="29"/>
      <c r="BR1098" s="29"/>
      <c r="BS1098" s="29"/>
      <c r="BT1098" s="29"/>
      <c r="BU1098" s="29"/>
    </row>
    <row r="1099" spans="34:73" x14ac:dyDescent="0.25"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X1099" s="29"/>
      <c r="AY1099" s="29"/>
      <c r="AZ1099" s="29"/>
      <c r="BA1099" s="29"/>
      <c r="BB1099" s="29"/>
      <c r="BC1099" s="29"/>
      <c r="BD1099" s="29"/>
      <c r="BE1099" s="29"/>
      <c r="BF1099" s="29"/>
      <c r="BG1099" s="29"/>
      <c r="BH1099" s="29"/>
      <c r="BI1099" s="29"/>
      <c r="BJ1099" s="29"/>
      <c r="BK1099" s="29"/>
      <c r="BL1099" s="29"/>
      <c r="BM1099" s="29"/>
      <c r="BN1099" s="29"/>
      <c r="BO1099" s="29"/>
      <c r="BP1099" s="29"/>
      <c r="BQ1099" s="29"/>
      <c r="BR1099" s="29"/>
      <c r="BS1099" s="29"/>
      <c r="BT1099" s="29"/>
      <c r="BU1099" s="29"/>
    </row>
    <row r="1100" spans="34:73" x14ac:dyDescent="0.25"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X1100" s="29"/>
      <c r="AY1100" s="29"/>
      <c r="AZ1100" s="29"/>
      <c r="BA1100" s="29"/>
      <c r="BB1100" s="29"/>
      <c r="BC1100" s="29"/>
      <c r="BD1100" s="29"/>
      <c r="BE1100" s="29"/>
      <c r="BF1100" s="29"/>
      <c r="BG1100" s="29"/>
      <c r="BH1100" s="29"/>
      <c r="BI1100" s="29"/>
      <c r="BJ1100" s="29"/>
      <c r="BK1100" s="29"/>
      <c r="BL1100" s="29"/>
      <c r="BM1100" s="29"/>
      <c r="BN1100" s="29"/>
      <c r="BO1100" s="29"/>
      <c r="BP1100" s="29"/>
      <c r="BQ1100" s="29"/>
      <c r="BR1100" s="29"/>
      <c r="BS1100" s="29"/>
      <c r="BT1100" s="29"/>
      <c r="BU1100" s="29"/>
    </row>
    <row r="1101" spans="34:73" x14ac:dyDescent="0.25"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/>
      <c r="BB1101" s="29"/>
      <c r="BC1101" s="29"/>
      <c r="BD1101" s="29"/>
      <c r="BE1101" s="29"/>
      <c r="BF1101" s="29"/>
      <c r="BG1101" s="29"/>
      <c r="BH1101" s="29"/>
      <c r="BI1101" s="29"/>
      <c r="BJ1101" s="29"/>
      <c r="BK1101" s="29"/>
      <c r="BL1101" s="29"/>
      <c r="BM1101" s="29"/>
      <c r="BN1101" s="29"/>
      <c r="BO1101" s="29"/>
      <c r="BP1101" s="29"/>
      <c r="BQ1101" s="29"/>
      <c r="BR1101" s="29"/>
      <c r="BS1101" s="29"/>
      <c r="BT1101" s="29"/>
      <c r="BU1101" s="29"/>
    </row>
    <row r="1102" spans="34:73" x14ac:dyDescent="0.25"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  <c r="AY1102" s="29"/>
      <c r="AZ1102" s="29"/>
      <c r="BA1102" s="29"/>
      <c r="BB1102" s="29"/>
      <c r="BC1102" s="29"/>
      <c r="BD1102" s="29"/>
      <c r="BE1102" s="29"/>
      <c r="BF1102" s="29"/>
      <c r="BG1102" s="29"/>
      <c r="BH1102" s="29"/>
      <c r="BI1102" s="29"/>
      <c r="BJ1102" s="29"/>
      <c r="BK1102" s="29"/>
      <c r="BL1102" s="29"/>
      <c r="BM1102" s="29"/>
      <c r="BN1102" s="29"/>
      <c r="BO1102" s="29"/>
      <c r="BP1102" s="29"/>
      <c r="BQ1102" s="29"/>
      <c r="BR1102" s="29"/>
      <c r="BS1102" s="29"/>
      <c r="BT1102" s="29"/>
      <c r="BU1102" s="29"/>
    </row>
    <row r="1103" spans="34:73" x14ac:dyDescent="0.25"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/>
      <c r="BB1103" s="29"/>
      <c r="BC1103" s="29"/>
      <c r="BD1103" s="29"/>
      <c r="BE1103" s="29"/>
      <c r="BF1103" s="29"/>
      <c r="BG1103" s="29"/>
      <c r="BH1103" s="29"/>
      <c r="BI1103" s="29"/>
      <c r="BJ1103" s="29"/>
      <c r="BK1103" s="29"/>
      <c r="BL1103" s="29"/>
      <c r="BM1103" s="29"/>
      <c r="BN1103" s="29"/>
      <c r="BO1103" s="29"/>
      <c r="BP1103" s="29"/>
      <c r="BQ1103" s="29"/>
      <c r="BR1103" s="29"/>
      <c r="BS1103" s="29"/>
      <c r="BT1103" s="29"/>
      <c r="BU1103" s="29"/>
    </row>
    <row r="1104" spans="34:73" x14ac:dyDescent="0.25"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  <c r="AY1104" s="29"/>
      <c r="AZ1104" s="29"/>
      <c r="BA1104" s="29"/>
      <c r="BB1104" s="29"/>
      <c r="BC1104" s="29"/>
      <c r="BD1104" s="29"/>
      <c r="BE1104" s="29"/>
      <c r="BF1104" s="29"/>
      <c r="BG1104" s="29"/>
      <c r="BH1104" s="29"/>
      <c r="BI1104" s="29"/>
      <c r="BJ1104" s="29"/>
      <c r="BK1104" s="29"/>
      <c r="BL1104" s="29"/>
      <c r="BM1104" s="29"/>
      <c r="BN1104" s="29"/>
      <c r="BO1104" s="29"/>
      <c r="BP1104" s="29"/>
      <c r="BQ1104" s="29"/>
      <c r="BR1104" s="29"/>
      <c r="BS1104" s="29"/>
      <c r="BT1104" s="29"/>
      <c r="BU1104" s="29"/>
    </row>
    <row r="1105" spans="34:73" x14ac:dyDescent="0.25"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  <c r="AY1105" s="29"/>
      <c r="AZ1105" s="29"/>
      <c r="BA1105" s="29"/>
      <c r="BB1105" s="29"/>
      <c r="BC1105" s="29"/>
      <c r="BD1105" s="29"/>
      <c r="BE1105" s="29"/>
      <c r="BF1105" s="29"/>
      <c r="BG1105" s="29"/>
      <c r="BH1105" s="29"/>
      <c r="BI1105" s="29"/>
      <c r="BJ1105" s="29"/>
      <c r="BK1105" s="29"/>
      <c r="BL1105" s="29"/>
      <c r="BM1105" s="29"/>
      <c r="BN1105" s="29"/>
      <c r="BO1105" s="29"/>
      <c r="BP1105" s="29"/>
      <c r="BQ1105" s="29"/>
      <c r="BR1105" s="29"/>
      <c r="BS1105" s="29"/>
      <c r="BT1105" s="29"/>
      <c r="BU1105" s="29"/>
    </row>
    <row r="1106" spans="34:73" x14ac:dyDescent="0.25"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X1106" s="29"/>
      <c r="AY1106" s="29"/>
      <c r="AZ1106" s="29"/>
      <c r="BA1106" s="29"/>
      <c r="BB1106" s="29"/>
      <c r="BC1106" s="29"/>
      <c r="BD1106" s="29"/>
      <c r="BE1106" s="29"/>
      <c r="BF1106" s="29"/>
      <c r="BG1106" s="29"/>
      <c r="BH1106" s="29"/>
      <c r="BI1106" s="29"/>
      <c r="BJ1106" s="29"/>
      <c r="BK1106" s="29"/>
      <c r="BL1106" s="29"/>
      <c r="BM1106" s="29"/>
      <c r="BN1106" s="29"/>
      <c r="BO1106" s="29"/>
      <c r="BP1106" s="29"/>
      <c r="BQ1106" s="29"/>
      <c r="BR1106" s="29"/>
      <c r="BS1106" s="29"/>
      <c r="BT1106" s="29"/>
      <c r="BU1106" s="29"/>
    </row>
    <row r="1107" spans="34:73" x14ac:dyDescent="0.25"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X1107" s="29"/>
      <c r="AY1107" s="29"/>
      <c r="AZ1107" s="29"/>
      <c r="BA1107" s="29"/>
      <c r="BB1107" s="29"/>
      <c r="BC1107" s="29"/>
      <c r="BD1107" s="29"/>
      <c r="BE1107" s="29"/>
      <c r="BF1107" s="29"/>
      <c r="BG1107" s="29"/>
      <c r="BH1107" s="29"/>
      <c r="BI1107" s="29"/>
      <c r="BJ1107" s="29"/>
      <c r="BK1107" s="29"/>
      <c r="BL1107" s="29"/>
      <c r="BM1107" s="29"/>
      <c r="BN1107" s="29"/>
      <c r="BO1107" s="29"/>
      <c r="BP1107" s="29"/>
      <c r="BQ1107" s="29"/>
      <c r="BR1107" s="29"/>
      <c r="BS1107" s="29"/>
      <c r="BT1107" s="29"/>
      <c r="BU1107" s="29"/>
    </row>
    <row r="1108" spans="34:73" x14ac:dyDescent="0.25"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  <c r="AY1108" s="29"/>
      <c r="AZ1108" s="29"/>
      <c r="BA1108" s="29"/>
      <c r="BB1108" s="29"/>
      <c r="BC1108" s="29"/>
      <c r="BD1108" s="29"/>
      <c r="BE1108" s="29"/>
      <c r="BF1108" s="29"/>
      <c r="BG1108" s="29"/>
      <c r="BH1108" s="29"/>
      <c r="BI1108" s="29"/>
      <c r="BJ1108" s="29"/>
      <c r="BK1108" s="29"/>
      <c r="BL1108" s="29"/>
      <c r="BM1108" s="29"/>
      <c r="BN1108" s="29"/>
      <c r="BO1108" s="29"/>
      <c r="BP1108" s="29"/>
      <c r="BQ1108" s="29"/>
      <c r="BR1108" s="29"/>
      <c r="BS1108" s="29"/>
      <c r="BT1108" s="29"/>
      <c r="BU1108" s="29"/>
    </row>
    <row r="1109" spans="34:73" x14ac:dyDescent="0.25"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  <c r="AY1109" s="29"/>
      <c r="AZ1109" s="29"/>
      <c r="BA1109" s="29"/>
      <c r="BB1109" s="29"/>
      <c r="BC1109" s="29"/>
      <c r="BD1109" s="29"/>
      <c r="BE1109" s="29"/>
      <c r="BF1109" s="29"/>
      <c r="BG1109" s="29"/>
      <c r="BH1109" s="29"/>
      <c r="BI1109" s="29"/>
      <c r="BJ1109" s="29"/>
      <c r="BK1109" s="29"/>
      <c r="BL1109" s="29"/>
      <c r="BM1109" s="29"/>
      <c r="BN1109" s="29"/>
      <c r="BO1109" s="29"/>
      <c r="BP1109" s="29"/>
      <c r="BQ1109" s="29"/>
      <c r="BR1109" s="29"/>
      <c r="BS1109" s="29"/>
      <c r="BT1109" s="29"/>
      <c r="BU1109" s="29"/>
    </row>
    <row r="1110" spans="34:73" x14ac:dyDescent="0.25"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29"/>
      <c r="BE1110" s="29"/>
      <c r="BF1110" s="29"/>
      <c r="BG1110" s="29"/>
      <c r="BH1110" s="29"/>
      <c r="BI1110" s="29"/>
      <c r="BJ1110" s="29"/>
      <c r="BK1110" s="29"/>
      <c r="BL1110" s="29"/>
      <c r="BM1110" s="29"/>
      <c r="BN1110" s="29"/>
      <c r="BO1110" s="29"/>
      <c r="BP1110" s="29"/>
      <c r="BQ1110" s="29"/>
      <c r="BR1110" s="29"/>
      <c r="BS1110" s="29"/>
      <c r="BT1110" s="29"/>
      <c r="BU1110" s="29"/>
    </row>
    <row r="1111" spans="34:73" x14ac:dyDescent="0.25"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X1111" s="29"/>
      <c r="AY1111" s="29"/>
      <c r="AZ1111" s="29"/>
      <c r="BA1111" s="29"/>
      <c r="BB1111" s="29"/>
      <c r="BC1111" s="29"/>
      <c r="BD1111" s="29"/>
      <c r="BE1111" s="29"/>
      <c r="BF1111" s="29"/>
      <c r="BG1111" s="29"/>
      <c r="BH1111" s="29"/>
      <c r="BI1111" s="29"/>
      <c r="BJ1111" s="29"/>
      <c r="BK1111" s="29"/>
      <c r="BL1111" s="29"/>
      <c r="BM1111" s="29"/>
      <c r="BN1111" s="29"/>
      <c r="BO1111" s="29"/>
      <c r="BP1111" s="29"/>
      <c r="BQ1111" s="29"/>
      <c r="BR1111" s="29"/>
      <c r="BS1111" s="29"/>
      <c r="BT1111" s="29"/>
      <c r="BU1111" s="29"/>
    </row>
    <row r="1112" spans="34:73" x14ac:dyDescent="0.25"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29"/>
      <c r="AZ1112" s="29"/>
      <c r="BA1112" s="29"/>
      <c r="BB1112" s="29"/>
      <c r="BC1112" s="29"/>
      <c r="BD1112" s="29"/>
      <c r="BE1112" s="29"/>
      <c r="BF1112" s="29"/>
      <c r="BG1112" s="29"/>
      <c r="BH1112" s="29"/>
      <c r="BI1112" s="29"/>
      <c r="BJ1112" s="29"/>
      <c r="BK1112" s="29"/>
      <c r="BL1112" s="29"/>
      <c r="BM1112" s="29"/>
      <c r="BN1112" s="29"/>
      <c r="BO1112" s="29"/>
      <c r="BP1112" s="29"/>
      <c r="BQ1112" s="29"/>
      <c r="BR1112" s="29"/>
      <c r="BS1112" s="29"/>
      <c r="BT1112" s="29"/>
      <c r="BU1112" s="29"/>
    </row>
    <row r="1113" spans="34:73" x14ac:dyDescent="0.25"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  <c r="AY1113" s="29"/>
      <c r="AZ1113" s="29"/>
      <c r="BA1113" s="29"/>
      <c r="BB1113" s="29"/>
      <c r="BC1113" s="29"/>
      <c r="BD1113" s="29"/>
      <c r="BE1113" s="29"/>
      <c r="BF1113" s="29"/>
      <c r="BG1113" s="29"/>
      <c r="BH1113" s="29"/>
      <c r="BI1113" s="29"/>
      <c r="BJ1113" s="29"/>
      <c r="BK1113" s="29"/>
      <c r="BL1113" s="29"/>
      <c r="BM1113" s="29"/>
      <c r="BN1113" s="29"/>
      <c r="BO1113" s="29"/>
      <c r="BP1113" s="29"/>
      <c r="BQ1113" s="29"/>
      <c r="BR1113" s="29"/>
      <c r="BS1113" s="29"/>
      <c r="BT1113" s="29"/>
      <c r="BU1113" s="29"/>
    </row>
    <row r="1114" spans="34:73" x14ac:dyDescent="0.25"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  <c r="AY1114" s="29"/>
      <c r="AZ1114" s="29"/>
      <c r="BA1114" s="29"/>
      <c r="BB1114" s="29"/>
      <c r="BC1114" s="29"/>
      <c r="BD1114" s="29"/>
      <c r="BE1114" s="29"/>
      <c r="BF1114" s="29"/>
      <c r="BG1114" s="29"/>
      <c r="BH1114" s="29"/>
      <c r="BI1114" s="29"/>
      <c r="BJ1114" s="29"/>
      <c r="BK1114" s="29"/>
      <c r="BL1114" s="29"/>
      <c r="BM1114" s="29"/>
      <c r="BN1114" s="29"/>
      <c r="BO1114" s="29"/>
      <c r="BP1114" s="29"/>
      <c r="BQ1114" s="29"/>
      <c r="BR1114" s="29"/>
      <c r="BS1114" s="29"/>
      <c r="BT1114" s="29"/>
      <c r="BU1114" s="29"/>
    </row>
    <row r="1115" spans="34:73" x14ac:dyDescent="0.25"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  <c r="AY1115" s="29"/>
      <c r="AZ1115" s="29"/>
      <c r="BA1115" s="29"/>
      <c r="BB1115" s="29"/>
      <c r="BC1115" s="29"/>
      <c r="BD1115" s="29"/>
      <c r="BE1115" s="29"/>
      <c r="BF1115" s="29"/>
      <c r="BG1115" s="29"/>
      <c r="BH1115" s="29"/>
      <c r="BI1115" s="29"/>
      <c r="BJ1115" s="29"/>
      <c r="BK1115" s="29"/>
      <c r="BL1115" s="29"/>
      <c r="BM1115" s="29"/>
      <c r="BN1115" s="29"/>
      <c r="BO1115" s="29"/>
      <c r="BP1115" s="29"/>
      <c r="BQ1115" s="29"/>
      <c r="BR1115" s="29"/>
      <c r="BS1115" s="29"/>
      <c r="BT1115" s="29"/>
      <c r="BU1115" s="29"/>
    </row>
    <row r="1116" spans="34:73" x14ac:dyDescent="0.25"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X1116" s="29"/>
      <c r="AY1116" s="29"/>
      <c r="AZ1116" s="29"/>
      <c r="BA1116" s="29"/>
      <c r="BB1116" s="29"/>
      <c r="BC1116" s="29"/>
      <c r="BD1116" s="29"/>
      <c r="BE1116" s="29"/>
      <c r="BF1116" s="29"/>
      <c r="BG1116" s="29"/>
      <c r="BH1116" s="29"/>
      <c r="BI1116" s="29"/>
      <c r="BJ1116" s="29"/>
      <c r="BK1116" s="29"/>
      <c r="BL1116" s="29"/>
      <c r="BM1116" s="29"/>
      <c r="BN1116" s="29"/>
      <c r="BO1116" s="29"/>
      <c r="BP1116" s="29"/>
      <c r="BQ1116" s="29"/>
      <c r="BR1116" s="29"/>
      <c r="BS1116" s="29"/>
      <c r="BT1116" s="29"/>
      <c r="BU1116" s="29"/>
    </row>
    <row r="1117" spans="34:73" x14ac:dyDescent="0.25"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29"/>
      <c r="BD1117" s="29"/>
      <c r="BE1117" s="29"/>
      <c r="BF1117" s="29"/>
      <c r="BG1117" s="29"/>
      <c r="BH1117" s="29"/>
      <c r="BI1117" s="29"/>
      <c r="BJ1117" s="29"/>
      <c r="BK1117" s="29"/>
      <c r="BL1117" s="29"/>
      <c r="BM1117" s="29"/>
      <c r="BN1117" s="29"/>
      <c r="BO1117" s="29"/>
      <c r="BP1117" s="29"/>
      <c r="BQ1117" s="29"/>
      <c r="BR1117" s="29"/>
      <c r="BS1117" s="29"/>
      <c r="BT1117" s="29"/>
      <c r="BU1117" s="29"/>
    </row>
    <row r="1118" spans="34:73" x14ac:dyDescent="0.25"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  <c r="AY1118" s="29"/>
      <c r="AZ1118" s="29"/>
      <c r="BA1118" s="29"/>
      <c r="BB1118" s="29"/>
      <c r="BC1118" s="29"/>
      <c r="BD1118" s="29"/>
      <c r="BE1118" s="29"/>
      <c r="BF1118" s="29"/>
      <c r="BG1118" s="29"/>
      <c r="BH1118" s="29"/>
      <c r="BI1118" s="29"/>
      <c r="BJ1118" s="29"/>
      <c r="BK1118" s="29"/>
      <c r="BL1118" s="29"/>
      <c r="BM1118" s="29"/>
      <c r="BN1118" s="29"/>
      <c r="BO1118" s="29"/>
      <c r="BP1118" s="29"/>
      <c r="BQ1118" s="29"/>
      <c r="BR1118" s="29"/>
      <c r="BS1118" s="29"/>
      <c r="BT1118" s="29"/>
      <c r="BU1118" s="29"/>
    </row>
    <row r="1119" spans="34:73" x14ac:dyDescent="0.25"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29"/>
      <c r="BE1119" s="29"/>
      <c r="BF1119" s="29"/>
      <c r="BG1119" s="29"/>
      <c r="BH1119" s="29"/>
      <c r="BI1119" s="29"/>
      <c r="BJ1119" s="29"/>
      <c r="BK1119" s="29"/>
      <c r="BL1119" s="29"/>
      <c r="BM1119" s="29"/>
      <c r="BN1119" s="29"/>
      <c r="BO1119" s="29"/>
      <c r="BP1119" s="29"/>
      <c r="BQ1119" s="29"/>
      <c r="BR1119" s="29"/>
      <c r="BS1119" s="29"/>
      <c r="BT1119" s="29"/>
      <c r="BU1119" s="29"/>
    </row>
    <row r="1120" spans="34:73" x14ac:dyDescent="0.25"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  <c r="AY1120" s="29"/>
      <c r="AZ1120" s="29"/>
      <c r="BA1120" s="29"/>
      <c r="BB1120" s="29"/>
      <c r="BC1120" s="29"/>
      <c r="BD1120" s="29"/>
      <c r="BE1120" s="29"/>
      <c r="BF1120" s="29"/>
      <c r="BG1120" s="29"/>
      <c r="BH1120" s="29"/>
      <c r="BI1120" s="29"/>
      <c r="BJ1120" s="29"/>
      <c r="BK1120" s="29"/>
      <c r="BL1120" s="29"/>
      <c r="BM1120" s="29"/>
      <c r="BN1120" s="29"/>
      <c r="BO1120" s="29"/>
      <c r="BP1120" s="29"/>
      <c r="BQ1120" s="29"/>
      <c r="BR1120" s="29"/>
      <c r="BS1120" s="29"/>
      <c r="BT1120" s="29"/>
      <c r="BU1120" s="29"/>
    </row>
    <row r="1121" spans="34:73" x14ac:dyDescent="0.25"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  <c r="AY1121" s="29"/>
      <c r="AZ1121" s="29"/>
      <c r="BA1121" s="29"/>
      <c r="BB1121" s="29"/>
      <c r="BC1121" s="29"/>
      <c r="BD1121" s="29"/>
      <c r="BE1121" s="29"/>
      <c r="BF1121" s="29"/>
      <c r="BG1121" s="29"/>
      <c r="BH1121" s="29"/>
      <c r="BI1121" s="29"/>
      <c r="BJ1121" s="29"/>
      <c r="BK1121" s="29"/>
      <c r="BL1121" s="29"/>
      <c r="BM1121" s="29"/>
      <c r="BN1121" s="29"/>
      <c r="BO1121" s="29"/>
      <c r="BP1121" s="29"/>
      <c r="BQ1121" s="29"/>
      <c r="BR1121" s="29"/>
      <c r="BS1121" s="29"/>
      <c r="BT1121" s="29"/>
      <c r="BU1121" s="29"/>
    </row>
    <row r="1122" spans="34:73" x14ac:dyDescent="0.25"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  <c r="AY1122" s="29"/>
      <c r="AZ1122" s="29"/>
      <c r="BA1122" s="29"/>
      <c r="BB1122" s="29"/>
      <c r="BC1122" s="29"/>
      <c r="BD1122" s="29"/>
      <c r="BE1122" s="29"/>
      <c r="BF1122" s="29"/>
      <c r="BG1122" s="29"/>
      <c r="BH1122" s="29"/>
      <c r="BI1122" s="29"/>
      <c r="BJ1122" s="29"/>
      <c r="BK1122" s="29"/>
      <c r="BL1122" s="29"/>
      <c r="BM1122" s="29"/>
      <c r="BN1122" s="29"/>
      <c r="BO1122" s="29"/>
      <c r="BP1122" s="29"/>
      <c r="BQ1122" s="29"/>
      <c r="BR1122" s="29"/>
      <c r="BS1122" s="29"/>
      <c r="BT1122" s="29"/>
      <c r="BU1122" s="29"/>
    </row>
    <row r="1123" spans="34:73" x14ac:dyDescent="0.25"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29"/>
      <c r="BD1123" s="29"/>
      <c r="BE1123" s="29"/>
      <c r="BF1123" s="29"/>
      <c r="BG1123" s="29"/>
      <c r="BH1123" s="29"/>
      <c r="BI1123" s="29"/>
      <c r="BJ1123" s="29"/>
      <c r="BK1123" s="29"/>
      <c r="BL1123" s="29"/>
      <c r="BM1123" s="29"/>
      <c r="BN1123" s="29"/>
      <c r="BO1123" s="29"/>
      <c r="BP1123" s="29"/>
      <c r="BQ1123" s="29"/>
      <c r="BR1123" s="29"/>
      <c r="BS1123" s="29"/>
      <c r="BT1123" s="29"/>
      <c r="BU1123" s="29"/>
    </row>
    <row r="1124" spans="34:73" x14ac:dyDescent="0.25"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  <c r="AY1124" s="29"/>
      <c r="AZ1124" s="29"/>
      <c r="BA1124" s="29"/>
      <c r="BB1124" s="29"/>
      <c r="BC1124" s="29"/>
      <c r="BD1124" s="29"/>
      <c r="BE1124" s="29"/>
      <c r="BF1124" s="29"/>
      <c r="BG1124" s="29"/>
      <c r="BH1124" s="29"/>
      <c r="BI1124" s="29"/>
      <c r="BJ1124" s="29"/>
      <c r="BK1124" s="29"/>
      <c r="BL1124" s="29"/>
      <c r="BM1124" s="29"/>
      <c r="BN1124" s="29"/>
      <c r="BO1124" s="29"/>
      <c r="BP1124" s="29"/>
      <c r="BQ1124" s="29"/>
      <c r="BR1124" s="29"/>
      <c r="BS1124" s="29"/>
      <c r="BT1124" s="29"/>
      <c r="BU1124" s="29"/>
    </row>
    <row r="1125" spans="34:73" x14ac:dyDescent="0.25"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  <c r="AY1125" s="29"/>
      <c r="AZ1125" s="29"/>
      <c r="BA1125" s="29"/>
      <c r="BB1125" s="29"/>
      <c r="BC1125" s="29"/>
      <c r="BD1125" s="29"/>
      <c r="BE1125" s="29"/>
      <c r="BF1125" s="29"/>
      <c r="BG1125" s="29"/>
      <c r="BH1125" s="29"/>
      <c r="BI1125" s="29"/>
      <c r="BJ1125" s="29"/>
      <c r="BK1125" s="29"/>
      <c r="BL1125" s="29"/>
      <c r="BM1125" s="29"/>
      <c r="BN1125" s="29"/>
      <c r="BO1125" s="29"/>
      <c r="BP1125" s="29"/>
      <c r="BQ1125" s="29"/>
      <c r="BR1125" s="29"/>
      <c r="BS1125" s="29"/>
      <c r="BT1125" s="29"/>
      <c r="BU1125" s="29"/>
    </row>
    <row r="1126" spans="34:73" x14ac:dyDescent="0.25"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  <c r="AY1126" s="29"/>
      <c r="AZ1126" s="29"/>
      <c r="BA1126" s="29"/>
      <c r="BB1126" s="29"/>
      <c r="BC1126" s="29"/>
      <c r="BD1126" s="29"/>
      <c r="BE1126" s="29"/>
      <c r="BF1126" s="29"/>
      <c r="BG1126" s="29"/>
      <c r="BH1126" s="29"/>
      <c r="BI1126" s="29"/>
      <c r="BJ1126" s="29"/>
      <c r="BK1126" s="29"/>
      <c r="BL1126" s="29"/>
      <c r="BM1126" s="29"/>
      <c r="BN1126" s="29"/>
      <c r="BO1126" s="29"/>
      <c r="BP1126" s="29"/>
      <c r="BQ1126" s="29"/>
      <c r="BR1126" s="29"/>
      <c r="BS1126" s="29"/>
      <c r="BT1126" s="29"/>
      <c r="BU1126" s="29"/>
    </row>
    <row r="1127" spans="34:73" x14ac:dyDescent="0.25"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X1127" s="29"/>
      <c r="AY1127" s="29"/>
      <c r="AZ1127" s="29"/>
      <c r="BA1127" s="29"/>
      <c r="BB1127" s="29"/>
      <c r="BC1127" s="29"/>
      <c r="BD1127" s="29"/>
      <c r="BE1127" s="29"/>
      <c r="BF1127" s="29"/>
      <c r="BG1127" s="29"/>
      <c r="BH1127" s="29"/>
      <c r="BI1127" s="29"/>
      <c r="BJ1127" s="29"/>
      <c r="BK1127" s="29"/>
      <c r="BL1127" s="29"/>
      <c r="BM1127" s="29"/>
      <c r="BN1127" s="29"/>
      <c r="BO1127" s="29"/>
      <c r="BP1127" s="29"/>
      <c r="BQ1127" s="29"/>
      <c r="BR1127" s="29"/>
      <c r="BS1127" s="29"/>
      <c r="BT1127" s="29"/>
      <c r="BU1127" s="29"/>
    </row>
    <row r="1128" spans="34:73" x14ac:dyDescent="0.25"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29"/>
      <c r="BE1128" s="29"/>
      <c r="BF1128" s="29"/>
      <c r="BG1128" s="29"/>
      <c r="BH1128" s="29"/>
      <c r="BI1128" s="29"/>
      <c r="BJ1128" s="29"/>
      <c r="BK1128" s="29"/>
      <c r="BL1128" s="29"/>
      <c r="BM1128" s="29"/>
      <c r="BN1128" s="29"/>
      <c r="BO1128" s="29"/>
      <c r="BP1128" s="29"/>
      <c r="BQ1128" s="29"/>
      <c r="BR1128" s="29"/>
      <c r="BS1128" s="29"/>
      <c r="BT1128" s="29"/>
      <c r="BU1128" s="29"/>
    </row>
    <row r="1129" spans="34:73" x14ac:dyDescent="0.25"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  <c r="AY1129" s="29"/>
      <c r="AZ1129" s="29"/>
      <c r="BA1129" s="29"/>
      <c r="BB1129" s="29"/>
      <c r="BC1129" s="29"/>
      <c r="BD1129" s="29"/>
      <c r="BE1129" s="29"/>
      <c r="BF1129" s="29"/>
      <c r="BG1129" s="29"/>
      <c r="BH1129" s="29"/>
      <c r="BI1129" s="29"/>
      <c r="BJ1129" s="29"/>
      <c r="BK1129" s="29"/>
      <c r="BL1129" s="29"/>
      <c r="BM1129" s="29"/>
      <c r="BN1129" s="29"/>
      <c r="BO1129" s="29"/>
      <c r="BP1129" s="29"/>
      <c r="BQ1129" s="29"/>
      <c r="BR1129" s="29"/>
      <c r="BS1129" s="29"/>
      <c r="BT1129" s="29"/>
      <c r="BU1129" s="29"/>
    </row>
    <row r="1130" spans="34:73" x14ac:dyDescent="0.25"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29"/>
      <c r="BD1130" s="29"/>
      <c r="BE1130" s="29"/>
      <c r="BF1130" s="29"/>
      <c r="BG1130" s="29"/>
      <c r="BH1130" s="29"/>
      <c r="BI1130" s="29"/>
      <c r="BJ1130" s="29"/>
      <c r="BK1130" s="29"/>
      <c r="BL1130" s="29"/>
      <c r="BM1130" s="29"/>
      <c r="BN1130" s="29"/>
      <c r="BO1130" s="29"/>
      <c r="BP1130" s="29"/>
      <c r="BQ1130" s="29"/>
      <c r="BR1130" s="29"/>
      <c r="BS1130" s="29"/>
      <c r="BT1130" s="29"/>
      <c r="BU1130" s="29"/>
    </row>
    <row r="1131" spans="34:73" x14ac:dyDescent="0.25"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  <c r="AY1131" s="29"/>
      <c r="AZ1131" s="29"/>
      <c r="BA1131" s="29"/>
      <c r="BB1131" s="29"/>
      <c r="BC1131" s="29"/>
      <c r="BD1131" s="29"/>
      <c r="BE1131" s="29"/>
      <c r="BF1131" s="29"/>
      <c r="BG1131" s="29"/>
      <c r="BH1131" s="29"/>
      <c r="BI1131" s="29"/>
      <c r="BJ1131" s="29"/>
      <c r="BK1131" s="29"/>
      <c r="BL1131" s="29"/>
      <c r="BM1131" s="29"/>
      <c r="BN1131" s="29"/>
      <c r="BO1131" s="29"/>
      <c r="BP1131" s="29"/>
      <c r="BQ1131" s="29"/>
      <c r="BR1131" s="29"/>
      <c r="BS1131" s="29"/>
      <c r="BT1131" s="29"/>
      <c r="BU1131" s="29"/>
    </row>
    <row r="1132" spans="34:73" x14ac:dyDescent="0.25"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29"/>
      <c r="BD1132" s="29"/>
      <c r="BE1132" s="29"/>
      <c r="BF1132" s="29"/>
      <c r="BG1132" s="29"/>
      <c r="BH1132" s="29"/>
      <c r="BI1132" s="29"/>
      <c r="BJ1132" s="29"/>
      <c r="BK1132" s="29"/>
      <c r="BL1132" s="29"/>
      <c r="BM1132" s="29"/>
      <c r="BN1132" s="29"/>
      <c r="BO1132" s="29"/>
      <c r="BP1132" s="29"/>
      <c r="BQ1132" s="29"/>
      <c r="BR1132" s="29"/>
      <c r="BS1132" s="29"/>
      <c r="BT1132" s="29"/>
      <c r="BU1132" s="29"/>
    </row>
    <row r="1133" spans="34:73" x14ac:dyDescent="0.25"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  <c r="AY1133" s="29"/>
      <c r="AZ1133" s="29"/>
      <c r="BA1133" s="29"/>
      <c r="BB1133" s="29"/>
      <c r="BC1133" s="29"/>
      <c r="BD1133" s="29"/>
      <c r="BE1133" s="29"/>
      <c r="BF1133" s="29"/>
      <c r="BG1133" s="29"/>
      <c r="BH1133" s="29"/>
      <c r="BI1133" s="29"/>
      <c r="BJ1133" s="29"/>
      <c r="BK1133" s="29"/>
      <c r="BL1133" s="29"/>
      <c r="BM1133" s="29"/>
      <c r="BN1133" s="29"/>
      <c r="BO1133" s="29"/>
      <c r="BP1133" s="29"/>
      <c r="BQ1133" s="29"/>
      <c r="BR1133" s="29"/>
      <c r="BS1133" s="29"/>
      <c r="BT1133" s="29"/>
      <c r="BU1133" s="29"/>
    </row>
    <row r="1134" spans="34:73" x14ac:dyDescent="0.25"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  <c r="AY1134" s="29"/>
      <c r="AZ1134" s="29"/>
      <c r="BA1134" s="29"/>
      <c r="BB1134" s="29"/>
      <c r="BC1134" s="29"/>
      <c r="BD1134" s="29"/>
      <c r="BE1134" s="29"/>
      <c r="BF1134" s="29"/>
      <c r="BG1134" s="29"/>
      <c r="BH1134" s="29"/>
      <c r="BI1134" s="29"/>
      <c r="BJ1134" s="29"/>
      <c r="BK1134" s="29"/>
      <c r="BL1134" s="29"/>
      <c r="BM1134" s="29"/>
      <c r="BN1134" s="29"/>
      <c r="BO1134" s="29"/>
      <c r="BP1134" s="29"/>
      <c r="BQ1134" s="29"/>
      <c r="BR1134" s="29"/>
      <c r="BS1134" s="29"/>
      <c r="BT1134" s="29"/>
      <c r="BU1134" s="29"/>
    </row>
    <row r="1135" spans="34:73" x14ac:dyDescent="0.25"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29"/>
      <c r="BE1135" s="29"/>
      <c r="BF1135" s="29"/>
      <c r="BG1135" s="29"/>
      <c r="BH1135" s="29"/>
      <c r="BI1135" s="29"/>
      <c r="BJ1135" s="29"/>
      <c r="BK1135" s="29"/>
      <c r="BL1135" s="29"/>
      <c r="BM1135" s="29"/>
      <c r="BN1135" s="29"/>
      <c r="BO1135" s="29"/>
      <c r="BP1135" s="29"/>
      <c r="BQ1135" s="29"/>
      <c r="BR1135" s="29"/>
      <c r="BS1135" s="29"/>
      <c r="BT1135" s="29"/>
      <c r="BU1135" s="29"/>
    </row>
    <row r="1136" spans="34:73" x14ac:dyDescent="0.25"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  <c r="AY1136" s="29"/>
      <c r="AZ1136" s="29"/>
      <c r="BA1136" s="29"/>
      <c r="BB1136" s="29"/>
      <c r="BC1136" s="29"/>
      <c r="BD1136" s="29"/>
      <c r="BE1136" s="29"/>
      <c r="BF1136" s="29"/>
      <c r="BG1136" s="29"/>
      <c r="BH1136" s="29"/>
      <c r="BI1136" s="29"/>
      <c r="BJ1136" s="29"/>
      <c r="BK1136" s="29"/>
      <c r="BL1136" s="29"/>
      <c r="BM1136" s="29"/>
      <c r="BN1136" s="29"/>
      <c r="BO1136" s="29"/>
      <c r="BP1136" s="29"/>
      <c r="BQ1136" s="29"/>
      <c r="BR1136" s="29"/>
      <c r="BS1136" s="29"/>
      <c r="BT1136" s="29"/>
      <c r="BU1136" s="29"/>
    </row>
    <row r="1137" spans="34:73" x14ac:dyDescent="0.25"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  <c r="AY1137" s="29"/>
      <c r="AZ1137" s="29"/>
      <c r="BA1137" s="29"/>
      <c r="BB1137" s="29"/>
      <c r="BC1137" s="29"/>
      <c r="BD1137" s="29"/>
      <c r="BE1137" s="29"/>
      <c r="BF1137" s="29"/>
      <c r="BG1137" s="29"/>
      <c r="BH1137" s="29"/>
      <c r="BI1137" s="29"/>
      <c r="BJ1137" s="29"/>
      <c r="BK1137" s="29"/>
      <c r="BL1137" s="29"/>
      <c r="BM1137" s="29"/>
      <c r="BN1137" s="29"/>
      <c r="BO1137" s="29"/>
      <c r="BP1137" s="29"/>
      <c r="BQ1137" s="29"/>
      <c r="BR1137" s="29"/>
      <c r="BS1137" s="29"/>
      <c r="BT1137" s="29"/>
      <c r="BU1137" s="29"/>
    </row>
    <row r="1138" spans="34:73" x14ac:dyDescent="0.25"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  <c r="AY1138" s="29"/>
      <c r="AZ1138" s="29"/>
      <c r="BA1138" s="29"/>
      <c r="BB1138" s="29"/>
      <c r="BC1138" s="29"/>
      <c r="BD1138" s="29"/>
      <c r="BE1138" s="29"/>
      <c r="BF1138" s="29"/>
      <c r="BG1138" s="29"/>
      <c r="BH1138" s="29"/>
      <c r="BI1138" s="29"/>
      <c r="BJ1138" s="29"/>
      <c r="BK1138" s="29"/>
      <c r="BL1138" s="29"/>
      <c r="BM1138" s="29"/>
      <c r="BN1138" s="29"/>
      <c r="BO1138" s="29"/>
      <c r="BP1138" s="29"/>
      <c r="BQ1138" s="29"/>
      <c r="BR1138" s="29"/>
      <c r="BS1138" s="29"/>
      <c r="BT1138" s="29"/>
      <c r="BU1138" s="29"/>
    </row>
    <row r="1139" spans="34:73" x14ac:dyDescent="0.25"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  <c r="AY1139" s="29"/>
      <c r="AZ1139" s="29"/>
      <c r="BA1139" s="29"/>
      <c r="BB1139" s="29"/>
      <c r="BC1139" s="29"/>
      <c r="BD1139" s="29"/>
      <c r="BE1139" s="29"/>
      <c r="BF1139" s="29"/>
      <c r="BG1139" s="29"/>
      <c r="BH1139" s="29"/>
      <c r="BI1139" s="29"/>
      <c r="BJ1139" s="29"/>
      <c r="BK1139" s="29"/>
      <c r="BL1139" s="29"/>
      <c r="BM1139" s="29"/>
      <c r="BN1139" s="29"/>
      <c r="BO1139" s="29"/>
      <c r="BP1139" s="29"/>
      <c r="BQ1139" s="29"/>
      <c r="BR1139" s="29"/>
      <c r="BS1139" s="29"/>
      <c r="BT1139" s="29"/>
      <c r="BU1139" s="29"/>
    </row>
    <row r="1140" spans="34:73" x14ac:dyDescent="0.25">
      <c r="AH1140" s="29"/>
      <c r="AI1140" s="29"/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X1140" s="29"/>
      <c r="AY1140" s="29"/>
      <c r="AZ1140" s="29"/>
      <c r="BA1140" s="29"/>
      <c r="BB1140" s="29"/>
      <c r="BC1140" s="29"/>
      <c r="BD1140" s="29"/>
      <c r="BE1140" s="29"/>
      <c r="BF1140" s="29"/>
      <c r="BG1140" s="29"/>
      <c r="BH1140" s="29"/>
      <c r="BI1140" s="29"/>
      <c r="BJ1140" s="29"/>
      <c r="BK1140" s="29"/>
      <c r="BL1140" s="29"/>
      <c r="BM1140" s="29"/>
      <c r="BN1140" s="29"/>
      <c r="BO1140" s="29"/>
      <c r="BP1140" s="29"/>
      <c r="BQ1140" s="29"/>
      <c r="BR1140" s="29"/>
      <c r="BS1140" s="29"/>
      <c r="BT1140" s="29"/>
      <c r="BU1140" s="29"/>
    </row>
    <row r="1141" spans="34:73" x14ac:dyDescent="0.25">
      <c r="AH1141" s="29"/>
      <c r="AI1141" s="29"/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X1141" s="29"/>
      <c r="AY1141" s="29"/>
      <c r="AZ1141" s="29"/>
      <c r="BA1141" s="29"/>
      <c r="BB1141" s="29"/>
      <c r="BC1141" s="29"/>
      <c r="BD1141" s="29"/>
      <c r="BE1141" s="29"/>
      <c r="BF1141" s="29"/>
      <c r="BG1141" s="29"/>
      <c r="BH1141" s="29"/>
      <c r="BI1141" s="29"/>
      <c r="BJ1141" s="29"/>
      <c r="BK1141" s="29"/>
      <c r="BL1141" s="29"/>
      <c r="BM1141" s="29"/>
      <c r="BN1141" s="29"/>
      <c r="BO1141" s="29"/>
      <c r="BP1141" s="29"/>
      <c r="BQ1141" s="29"/>
      <c r="BR1141" s="29"/>
      <c r="BS1141" s="29"/>
      <c r="BT1141" s="29"/>
      <c r="BU1141" s="29"/>
    </row>
    <row r="1142" spans="34:73" x14ac:dyDescent="0.25"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  <c r="AY1142" s="29"/>
      <c r="AZ1142" s="29"/>
      <c r="BA1142" s="29"/>
      <c r="BB1142" s="29"/>
      <c r="BC1142" s="29"/>
      <c r="BD1142" s="29"/>
      <c r="BE1142" s="29"/>
      <c r="BF1142" s="29"/>
      <c r="BG1142" s="29"/>
      <c r="BH1142" s="29"/>
      <c r="BI1142" s="29"/>
      <c r="BJ1142" s="29"/>
      <c r="BK1142" s="29"/>
      <c r="BL1142" s="29"/>
      <c r="BM1142" s="29"/>
      <c r="BN1142" s="29"/>
      <c r="BO1142" s="29"/>
      <c r="BP1142" s="29"/>
      <c r="BQ1142" s="29"/>
      <c r="BR1142" s="29"/>
      <c r="BS1142" s="29"/>
      <c r="BT1142" s="29"/>
      <c r="BU1142" s="29"/>
    </row>
    <row r="1143" spans="34:73" x14ac:dyDescent="0.25">
      <c r="AH1143" s="29"/>
      <c r="AI1143" s="29"/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X1143" s="29"/>
      <c r="AY1143" s="29"/>
      <c r="AZ1143" s="29"/>
      <c r="BA1143" s="29"/>
      <c r="BB1143" s="29"/>
      <c r="BC1143" s="29"/>
      <c r="BD1143" s="29"/>
      <c r="BE1143" s="29"/>
      <c r="BF1143" s="29"/>
      <c r="BG1143" s="29"/>
      <c r="BH1143" s="29"/>
      <c r="BI1143" s="29"/>
      <c r="BJ1143" s="29"/>
      <c r="BK1143" s="29"/>
      <c r="BL1143" s="29"/>
      <c r="BM1143" s="29"/>
      <c r="BN1143" s="29"/>
      <c r="BO1143" s="29"/>
      <c r="BP1143" s="29"/>
      <c r="BQ1143" s="29"/>
      <c r="BR1143" s="29"/>
      <c r="BS1143" s="29"/>
      <c r="BT1143" s="29"/>
      <c r="BU1143" s="29"/>
    </row>
    <row r="1144" spans="34:73" x14ac:dyDescent="0.25"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X1144" s="29"/>
      <c r="AY1144" s="29"/>
      <c r="AZ1144" s="29"/>
      <c r="BA1144" s="29"/>
      <c r="BB1144" s="29"/>
      <c r="BC1144" s="29"/>
      <c r="BD1144" s="29"/>
      <c r="BE1144" s="29"/>
      <c r="BF1144" s="29"/>
      <c r="BG1144" s="29"/>
      <c r="BH1144" s="29"/>
      <c r="BI1144" s="29"/>
      <c r="BJ1144" s="29"/>
      <c r="BK1144" s="29"/>
      <c r="BL1144" s="29"/>
      <c r="BM1144" s="29"/>
      <c r="BN1144" s="29"/>
      <c r="BO1144" s="29"/>
      <c r="BP1144" s="29"/>
      <c r="BQ1144" s="29"/>
      <c r="BR1144" s="29"/>
      <c r="BS1144" s="29"/>
      <c r="BT1144" s="29"/>
      <c r="BU1144" s="29"/>
    </row>
    <row r="1145" spans="34:73" x14ac:dyDescent="0.25"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29"/>
      <c r="BD1145" s="29"/>
      <c r="BE1145" s="29"/>
      <c r="BF1145" s="29"/>
      <c r="BG1145" s="29"/>
      <c r="BH1145" s="29"/>
      <c r="BI1145" s="29"/>
      <c r="BJ1145" s="29"/>
      <c r="BK1145" s="29"/>
      <c r="BL1145" s="29"/>
      <c r="BM1145" s="29"/>
      <c r="BN1145" s="29"/>
      <c r="BO1145" s="29"/>
      <c r="BP1145" s="29"/>
      <c r="BQ1145" s="29"/>
      <c r="BR1145" s="29"/>
      <c r="BS1145" s="29"/>
      <c r="BT1145" s="29"/>
      <c r="BU1145" s="29"/>
    </row>
    <row r="1146" spans="34:73" x14ac:dyDescent="0.25"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X1146" s="29"/>
      <c r="AY1146" s="29"/>
      <c r="AZ1146" s="29"/>
      <c r="BA1146" s="29"/>
      <c r="BB1146" s="29"/>
      <c r="BC1146" s="29"/>
      <c r="BD1146" s="29"/>
      <c r="BE1146" s="29"/>
      <c r="BF1146" s="29"/>
      <c r="BG1146" s="29"/>
      <c r="BH1146" s="29"/>
      <c r="BI1146" s="29"/>
      <c r="BJ1146" s="29"/>
      <c r="BK1146" s="29"/>
      <c r="BL1146" s="29"/>
      <c r="BM1146" s="29"/>
      <c r="BN1146" s="29"/>
      <c r="BO1146" s="29"/>
      <c r="BP1146" s="29"/>
      <c r="BQ1146" s="29"/>
      <c r="BR1146" s="29"/>
      <c r="BS1146" s="29"/>
      <c r="BT1146" s="29"/>
      <c r="BU1146" s="29"/>
    </row>
    <row r="1147" spans="34:73" x14ac:dyDescent="0.25"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X1147" s="29"/>
      <c r="AY1147" s="29"/>
      <c r="AZ1147" s="29"/>
      <c r="BA1147" s="29"/>
      <c r="BB1147" s="29"/>
      <c r="BC1147" s="29"/>
      <c r="BD1147" s="29"/>
      <c r="BE1147" s="29"/>
      <c r="BF1147" s="29"/>
      <c r="BG1147" s="29"/>
      <c r="BH1147" s="29"/>
      <c r="BI1147" s="29"/>
      <c r="BJ1147" s="29"/>
      <c r="BK1147" s="29"/>
      <c r="BL1147" s="29"/>
      <c r="BM1147" s="29"/>
      <c r="BN1147" s="29"/>
      <c r="BO1147" s="29"/>
      <c r="BP1147" s="29"/>
      <c r="BQ1147" s="29"/>
      <c r="BR1147" s="29"/>
      <c r="BS1147" s="29"/>
      <c r="BT1147" s="29"/>
      <c r="BU1147" s="29"/>
    </row>
    <row r="1148" spans="34:73" x14ac:dyDescent="0.25"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X1148" s="29"/>
      <c r="AY1148" s="29"/>
      <c r="AZ1148" s="29"/>
      <c r="BA1148" s="29"/>
      <c r="BB1148" s="29"/>
      <c r="BC1148" s="29"/>
      <c r="BD1148" s="29"/>
      <c r="BE1148" s="29"/>
      <c r="BF1148" s="29"/>
      <c r="BG1148" s="29"/>
      <c r="BH1148" s="29"/>
      <c r="BI1148" s="29"/>
      <c r="BJ1148" s="29"/>
      <c r="BK1148" s="29"/>
      <c r="BL1148" s="29"/>
      <c r="BM1148" s="29"/>
      <c r="BN1148" s="29"/>
      <c r="BO1148" s="29"/>
      <c r="BP1148" s="29"/>
      <c r="BQ1148" s="29"/>
      <c r="BR1148" s="29"/>
      <c r="BS1148" s="29"/>
      <c r="BT1148" s="29"/>
      <c r="BU1148" s="29"/>
    </row>
    <row r="1149" spans="34:73" x14ac:dyDescent="0.25">
      <c r="AH1149" s="29"/>
      <c r="AI1149" s="29"/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  <c r="AT1149" s="29"/>
      <c r="AU1149" s="29"/>
      <c r="AV1149" s="29"/>
      <c r="AW1149" s="29"/>
      <c r="AX1149" s="29"/>
      <c r="AY1149" s="29"/>
      <c r="AZ1149" s="29"/>
      <c r="BA1149" s="29"/>
      <c r="BB1149" s="29"/>
      <c r="BC1149" s="29"/>
      <c r="BD1149" s="29"/>
      <c r="BE1149" s="29"/>
      <c r="BF1149" s="29"/>
      <c r="BG1149" s="29"/>
      <c r="BH1149" s="29"/>
      <c r="BI1149" s="29"/>
      <c r="BJ1149" s="29"/>
      <c r="BK1149" s="29"/>
      <c r="BL1149" s="29"/>
      <c r="BM1149" s="29"/>
      <c r="BN1149" s="29"/>
      <c r="BO1149" s="29"/>
      <c r="BP1149" s="29"/>
      <c r="BQ1149" s="29"/>
      <c r="BR1149" s="29"/>
      <c r="BS1149" s="29"/>
      <c r="BT1149" s="29"/>
      <c r="BU1149" s="29"/>
    </row>
    <row r="1150" spans="34:73" x14ac:dyDescent="0.25"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X1150" s="29"/>
      <c r="AY1150" s="29"/>
      <c r="AZ1150" s="29"/>
      <c r="BA1150" s="29"/>
      <c r="BB1150" s="29"/>
      <c r="BC1150" s="29"/>
      <c r="BD1150" s="29"/>
      <c r="BE1150" s="29"/>
      <c r="BF1150" s="29"/>
      <c r="BG1150" s="29"/>
      <c r="BH1150" s="29"/>
      <c r="BI1150" s="29"/>
      <c r="BJ1150" s="29"/>
      <c r="BK1150" s="29"/>
      <c r="BL1150" s="29"/>
      <c r="BM1150" s="29"/>
      <c r="BN1150" s="29"/>
      <c r="BO1150" s="29"/>
      <c r="BP1150" s="29"/>
      <c r="BQ1150" s="29"/>
      <c r="BR1150" s="29"/>
      <c r="BS1150" s="29"/>
      <c r="BT1150" s="29"/>
      <c r="BU1150" s="29"/>
    </row>
    <row r="1151" spans="34:73" x14ac:dyDescent="0.25"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  <c r="AY1151" s="29"/>
      <c r="AZ1151" s="29"/>
      <c r="BA1151" s="29"/>
      <c r="BB1151" s="29"/>
      <c r="BC1151" s="29"/>
      <c r="BD1151" s="29"/>
      <c r="BE1151" s="29"/>
      <c r="BF1151" s="29"/>
      <c r="BG1151" s="29"/>
      <c r="BH1151" s="29"/>
      <c r="BI1151" s="29"/>
      <c r="BJ1151" s="29"/>
      <c r="BK1151" s="29"/>
      <c r="BL1151" s="29"/>
      <c r="BM1151" s="29"/>
      <c r="BN1151" s="29"/>
      <c r="BO1151" s="29"/>
      <c r="BP1151" s="29"/>
      <c r="BQ1151" s="29"/>
      <c r="BR1151" s="29"/>
      <c r="BS1151" s="29"/>
      <c r="BT1151" s="29"/>
      <c r="BU1151" s="29"/>
    </row>
    <row r="1152" spans="34:73" x14ac:dyDescent="0.25"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  <c r="AY1152" s="29"/>
      <c r="AZ1152" s="29"/>
      <c r="BA1152" s="29"/>
      <c r="BB1152" s="29"/>
      <c r="BC1152" s="29"/>
      <c r="BD1152" s="29"/>
      <c r="BE1152" s="29"/>
      <c r="BF1152" s="29"/>
      <c r="BG1152" s="29"/>
      <c r="BH1152" s="29"/>
      <c r="BI1152" s="29"/>
      <c r="BJ1152" s="29"/>
      <c r="BK1152" s="29"/>
      <c r="BL1152" s="29"/>
      <c r="BM1152" s="29"/>
      <c r="BN1152" s="29"/>
      <c r="BO1152" s="29"/>
      <c r="BP1152" s="29"/>
      <c r="BQ1152" s="29"/>
      <c r="BR1152" s="29"/>
      <c r="BS1152" s="29"/>
      <c r="BT1152" s="29"/>
      <c r="BU1152" s="29"/>
    </row>
    <row r="1153" spans="34:73" x14ac:dyDescent="0.25"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X1153" s="29"/>
      <c r="AY1153" s="29"/>
      <c r="AZ1153" s="29"/>
      <c r="BA1153" s="29"/>
      <c r="BB1153" s="29"/>
      <c r="BC1153" s="29"/>
      <c r="BD1153" s="29"/>
      <c r="BE1153" s="29"/>
      <c r="BF1153" s="29"/>
      <c r="BG1153" s="29"/>
      <c r="BH1153" s="29"/>
      <c r="BI1153" s="29"/>
      <c r="BJ1153" s="29"/>
      <c r="BK1153" s="29"/>
      <c r="BL1153" s="29"/>
      <c r="BM1153" s="29"/>
      <c r="BN1153" s="29"/>
      <c r="BO1153" s="29"/>
      <c r="BP1153" s="29"/>
      <c r="BQ1153" s="29"/>
      <c r="BR1153" s="29"/>
      <c r="BS1153" s="29"/>
      <c r="BT1153" s="29"/>
      <c r="BU1153" s="29"/>
    </row>
    <row r="1154" spans="34:73" x14ac:dyDescent="0.25"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  <c r="AZ1154" s="29"/>
      <c r="BA1154" s="29"/>
      <c r="BB1154" s="29"/>
      <c r="BC1154" s="29"/>
      <c r="BD1154" s="29"/>
      <c r="BE1154" s="29"/>
      <c r="BF1154" s="29"/>
      <c r="BG1154" s="29"/>
      <c r="BH1154" s="29"/>
      <c r="BI1154" s="29"/>
      <c r="BJ1154" s="29"/>
      <c r="BK1154" s="29"/>
      <c r="BL1154" s="29"/>
      <c r="BM1154" s="29"/>
      <c r="BN1154" s="29"/>
      <c r="BO1154" s="29"/>
      <c r="BP1154" s="29"/>
      <c r="BQ1154" s="29"/>
      <c r="BR1154" s="29"/>
      <c r="BS1154" s="29"/>
      <c r="BT1154" s="29"/>
      <c r="BU1154" s="29"/>
    </row>
    <row r="1155" spans="34:73" x14ac:dyDescent="0.25"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  <c r="AZ1155" s="29"/>
      <c r="BA1155" s="29"/>
      <c r="BB1155" s="29"/>
      <c r="BC1155" s="29"/>
      <c r="BD1155" s="29"/>
      <c r="BE1155" s="29"/>
      <c r="BF1155" s="29"/>
      <c r="BG1155" s="29"/>
      <c r="BH1155" s="29"/>
      <c r="BI1155" s="29"/>
      <c r="BJ1155" s="29"/>
      <c r="BK1155" s="29"/>
      <c r="BL1155" s="29"/>
      <c r="BM1155" s="29"/>
      <c r="BN1155" s="29"/>
      <c r="BO1155" s="29"/>
      <c r="BP1155" s="29"/>
      <c r="BQ1155" s="29"/>
      <c r="BR1155" s="29"/>
      <c r="BS1155" s="29"/>
      <c r="BT1155" s="29"/>
      <c r="BU1155" s="29"/>
    </row>
    <row r="1156" spans="34:73" x14ac:dyDescent="0.25"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  <c r="AZ1156" s="29"/>
      <c r="BA1156" s="29"/>
      <c r="BB1156" s="29"/>
      <c r="BC1156" s="29"/>
      <c r="BD1156" s="29"/>
      <c r="BE1156" s="29"/>
      <c r="BF1156" s="29"/>
      <c r="BG1156" s="29"/>
      <c r="BH1156" s="29"/>
      <c r="BI1156" s="29"/>
      <c r="BJ1156" s="29"/>
      <c r="BK1156" s="29"/>
      <c r="BL1156" s="29"/>
      <c r="BM1156" s="29"/>
      <c r="BN1156" s="29"/>
      <c r="BO1156" s="29"/>
      <c r="BP1156" s="29"/>
      <c r="BQ1156" s="29"/>
      <c r="BR1156" s="29"/>
      <c r="BS1156" s="29"/>
      <c r="BT1156" s="29"/>
      <c r="BU1156" s="29"/>
    </row>
    <row r="1157" spans="34:73" x14ac:dyDescent="0.25"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  <c r="AY1157" s="29"/>
      <c r="AZ1157" s="29"/>
      <c r="BA1157" s="29"/>
      <c r="BB1157" s="29"/>
      <c r="BC1157" s="29"/>
      <c r="BD1157" s="29"/>
      <c r="BE1157" s="29"/>
      <c r="BF1157" s="29"/>
      <c r="BG1157" s="29"/>
      <c r="BH1157" s="29"/>
      <c r="BI1157" s="29"/>
      <c r="BJ1157" s="29"/>
      <c r="BK1157" s="29"/>
      <c r="BL1157" s="29"/>
      <c r="BM1157" s="29"/>
      <c r="BN1157" s="29"/>
      <c r="BO1157" s="29"/>
      <c r="BP1157" s="29"/>
      <c r="BQ1157" s="29"/>
      <c r="BR1157" s="29"/>
      <c r="BS1157" s="29"/>
      <c r="BT1157" s="29"/>
      <c r="BU1157" s="29"/>
    </row>
    <row r="1158" spans="34:73" x14ac:dyDescent="0.25"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  <c r="AY1158" s="29"/>
      <c r="AZ1158" s="29"/>
      <c r="BA1158" s="29"/>
      <c r="BB1158" s="29"/>
      <c r="BC1158" s="29"/>
      <c r="BD1158" s="29"/>
      <c r="BE1158" s="29"/>
      <c r="BF1158" s="29"/>
      <c r="BG1158" s="29"/>
      <c r="BH1158" s="29"/>
      <c r="BI1158" s="29"/>
      <c r="BJ1158" s="29"/>
      <c r="BK1158" s="29"/>
      <c r="BL1158" s="29"/>
      <c r="BM1158" s="29"/>
      <c r="BN1158" s="29"/>
      <c r="BO1158" s="29"/>
      <c r="BP1158" s="29"/>
      <c r="BQ1158" s="29"/>
      <c r="BR1158" s="29"/>
      <c r="BS1158" s="29"/>
      <c r="BT1158" s="29"/>
      <c r="BU1158" s="29"/>
    </row>
    <row r="1159" spans="34:73" x14ac:dyDescent="0.25"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X1159" s="29"/>
      <c r="AY1159" s="29"/>
      <c r="AZ1159" s="29"/>
      <c r="BA1159" s="29"/>
      <c r="BB1159" s="29"/>
      <c r="BC1159" s="29"/>
      <c r="BD1159" s="29"/>
      <c r="BE1159" s="29"/>
      <c r="BF1159" s="29"/>
      <c r="BG1159" s="29"/>
      <c r="BH1159" s="29"/>
      <c r="BI1159" s="29"/>
      <c r="BJ1159" s="29"/>
      <c r="BK1159" s="29"/>
      <c r="BL1159" s="29"/>
      <c r="BM1159" s="29"/>
      <c r="BN1159" s="29"/>
      <c r="BO1159" s="29"/>
      <c r="BP1159" s="29"/>
      <c r="BQ1159" s="29"/>
      <c r="BR1159" s="29"/>
      <c r="BS1159" s="29"/>
      <c r="BT1159" s="29"/>
      <c r="BU1159" s="29"/>
    </row>
    <row r="1160" spans="34:73" x14ac:dyDescent="0.25">
      <c r="AH1160" s="29"/>
      <c r="AI1160" s="29"/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  <c r="AT1160" s="29"/>
      <c r="AU1160" s="29"/>
      <c r="AV1160" s="29"/>
      <c r="AW1160" s="29"/>
      <c r="AX1160" s="29"/>
      <c r="AY1160" s="29"/>
      <c r="AZ1160" s="29"/>
      <c r="BA1160" s="29"/>
      <c r="BB1160" s="29"/>
      <c r="BC1160" s="29"/>
      <c r="BD1160" s="29"/>
      <c r="BE1160" s="29"/>
      <c r="BF1160" s="29"/>
      <c r="BG1160" s="29"/>
      <c r="BH1160" s="29"/>
      <c r="BI1160" s="29"/>
      <c r="BJ1160" s="29"/>
      <c r="BK1160" s="29"/>
      <c r="BL1160" s="29"/>
      <c r="BM1160" s="29"/>
      <c r="BN1160" s="29"/>
      <c r="BO1160" s="29"/>
      <c r="BP1160" s="29"/>
      <c r="BQ1160" s="29"/>
      <c r="BR1160" s="29"/>
      <c r="BS1160" s="29"/>
      <c r="BT1160" s="29"/>
      <c r="BU1160" s="29"/>
    </row>
    <row r="1161" spans="34:73" x14ac:dyDescent="0.25">
      <c r="AH1161" s="29"/>
      <c r="AI1161" s="29"/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  <c r="AT1161" s="29"/>
      <c r="AU1161" s="29"/>
      <c r="AV1161" s="29"/>
      <c r="AW1161" s="29"/>
      <c r="AX1161" s="29"/>
      <c r="AY1161" s="29"/>
      <c r="AZ1161" s="29"/>
      <c r="BA1161" s="29"/>
      <c r="BB1161" s="29"/>
      <c r="BC1161" s="29"/>
      <c r="BD1161" s="29"/>
      <c r="BE1161" s="29"/>
      <c r="BF1161" s="29"/>
      <c r="BG1161" s="29"/>
      <c r="BH1161" s="29"/>
      <c r="BI1161" s="29"/>
      <c r="BJ1161" s="29"/>
      <c r="BK1161" s="29"/>
      <c r="BL1161" s="29"/>
      <c r="BM1161" s="29"/>
      <c r="BN1161" s="29"/>
      <c r="BO1161" s="29"/>
      <c r="BP1161" s="29"/>
      <c r="BQ1161" s="29"/>
      <c r="BR1161" s="29"/>
      <c r="BS1161" s="29"/>
      <c r="BT1161" s="29"/>
      <c r="BU1161" s="29"/>
    </row>
    <row r="1162" spans="34:73" x14ac:dyDescent="0.25"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29"/>
      <c r="AW1162" s="29"/>
      <c r="AX1162" s="29"/>
      <c r="AY1162" s="29"/>
      <c r="AZ1162" s="29"/>
      <c r="BA1162" s="29"/>
      <c r="BB1162" s="29"/>
      <c r="BC1162" s="29"/>
      <c r="BD1162" s="29"/>
      <c r="BE1162" s="29"/>
      <c r="BF1162" s="29"/>
      <c r="BG1162" s="29"/>
      <c r="BH1162" s="29"/>
      <c r="BI1162" s="29"/>
      <c r="BJ1162" s="29"/>
      <c r="BK1162" s="29"/>
      <c r="BL1162" s="29"/>
      <c r="BM1162" s="29"/>
      <c r="BN1162" s="29"/>
      <c r="BO1162" s="29"/>
      <c r="BP1162" s="29"/>
      <c r="BQ1162" s="29"/>
      <c r="BR1162" s="29"/>
      <c r="BS1162" s="29"/>
      <c r="BT1162" s="29"/>
      <c r="BU1162" s="29"/>
    </row>
    <row r="1163" spans="34:73" x14ac:dyDescent="0.25"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  <c r="AT1163" s="29"/>
      <c r="AU1163" s="29"/>
      <c r="AV1163" s="29"/>
      <c r="AW1163" s="29"/>
      <c r="AX1163" s="29"/>
      <c r="AY1163" s="29"/>
      <c r="AZ1163" s="29"/>
      <c r="BA1163" s="29"/>
      <c r="BB1163" s="29"/>
      <c r="BC1163" s="29"/>
      <c r="BD1163" s="29"/>
      <c r="BE1163" s="29"/>
      <c r="BF1163" s="29"/>
      <c r="BG1163" s="29"/>
      <c r="BH1163" s="29"/>
      <c r="BI1163" s="29"/>
      <c r="BJ1163" s="29"/>
      <c r="BK1163" s="29"/>
      <c r="BL1163" s="29"/>
      <c r="BM1163" s="29"/>
      <c r="BN1163" s="29"/>
      <c r="BO1163" s="29"/>
      <c r="BP1163" s="29"/>
      <c r="BQ1163" s="29"/>
      <c r="BR1163" s="29"/>
      <c r="BS1163" s="29"/>
      <c r="BT1163" s="29"/>
      <c r="BU1163" s="29"/>
    </row>
    <row r="1164" spans="34:73" x14ac:dyDescent="0.25"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/>
      <c r="AV1164" s="29"/>
      <c r="AW1164" s="29"/>
      <c r="AX1164" s="29"/>
      <c r="AY1164" s="29"/>
      <c r="AZ1164" s="29"/>
      <c r="BA1164" s="29"/>
      <c r="BB1164" s="29"/>
      <c r="BC1164" s="29"/>
      <c r="BD1164" s="29"/>
      <c r="BE1164" s="29"/>
      <c r="BF1164" s="29"/>
      <c r="BG1164" s="29"/>
      <c r="BH1164" s="29"/>
      <c r="BI1164" s="29"/>
      <c r="BJ1164" s="29"/>
      <c r="BK1164" s="29"/>
      <c r="BL1164" s="29"/>
      <c r="BM1164" s="29"/>
      <c r="BN1164" s="29"/>
      <c r="BO1164" s="29"/>
      <c r="BP1164" s="29"/>
      <c r="BQ1164" s="29"/>
      <c r="BR1164" s="29"/>
      <c r="BS1164" s="29"/>
      <c r="BT1164" s="29"/>
      <c r="BU1164" s="29"/>
    </row>
    <row r="1165" spans="34:73" x14ac:dyDescent="0.25"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  <c r="AY1165" s="29"/>
      <c r="AZ1165" s="29"/>
      <c r="BA1165" s="29"/>
      <c r="BB1165" s="29"/>
      <c r="BC1165" s="29"/>
      <c r="BD1165" s="29"/>
      <c r="BE1165" s="29"/>
      <c r="BF1165" s="29"/>
      <c r="BG1165" s="29"/>
      <c r="BH1165" s="29"/>
      <c r="BI1165" s="29"/>
      <c r="BJ1165" s="29"/>
      <c r="BK1165" s="29"/>
      <c r="BL1165" s="29"/>
      <c r="BM1165" s="29"/>
      <c r="BN1165" s="29"/>
      <c r="BO1165" s="29"/>
      <c r="BP1165" s="29"/>
      <c r="BQ1165" s="29"/>
      <c r="BR1165" s="29"/>
      <c r="BS1165" s="29"/>
      <c r="BT1165" s="29"/>
      <c r="BU1165" s="29"/>
    </row>
    <row r="1166" spans="34:73" x14ac:dyDescent="0.25">
      <c r="AH1166" s="29"/>
      <c r="AI1166" s="29"/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  <c r="AT1166" s="29"/>
      <c r="AU1166" s="29"/>
      <c r="AV1166" s="29"/>
      <c r="AW1166" s="29"/>
      <c r="AX1166" s="29"/>
      <c r="AY1166" s="29"/>
      <c r="AZ1166" s="29"/>
      <c r="BA1166" s="29"/>
      <c r="BB1166" s="29"/>
      <c r="BC1166" s="29"/>
      <c r="BD1166" s="29"/>
      <c r="BE1166" s="29"/>
      <c r="BF1166" s="29"/>
      <c r="BG1166" s="29"/>
      <c r="BH1166" s="29"/>
      <c r="BI1166" s="29"/>
      <c r="BJ1166" s="29"/>
      <c r="BK1166" s="29"/>
      <c r="BL1166" s="29"/>
      <c r="BM1166" s="29"/>
      <c r="BN1166" s="29"/>
      <c r="BO1166" s="29"/>
      <c r="BP1166" s="29"/>
      <c r="BQ1166" s="29"/>
      <c r="BR1166" s="29"/>
      <c r="BS1166" s="29"/>
      <c r="BT1166" s="29"/>
      <c r="BU1166" s="29"/>
    </row>
    <row r="1167" spans="34:73" x14ac:dyDescent="0.25"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  <c r="AT1167" s="29"/>
      <c r="AU1167" s="29"/>
      <c r="AV1167" s="29"/>
      <c r="AW1167" s="29"/>
      <c r="AX1167" s="29"/>
      <c r="AY1167" s="29"/>
      <c r="AZ1167" s="29"/>
      <c r="BA1167" s="29"/>
      <c r="BB1167" s="29"/>
      <c r="BC1167" s="29"/>
      <c r="BD1167" s="29"/>
      <c r="BE1167" s="29"/>
      <c r="BF1167" s="29"/>
      <c r="BG1167" s="29"/>
      <c r="BH1167" s="29"/>
      <c r="BI1167" s="29"/>
      <c r="BJ1167" s="29"/>
      <c r="BK1167" s="29"/>
      <c r="BL1167" s="29"/>
      <c r="BM1167" s="29"/>
      <c r="BN1167" s="29"/>
      <c r="BO1167" s="29"/>
      <c r="BP1167" s="29"/>
      <c r="BQ1167" s="29"/>
      <c r="BR1167" s="29"/>
      <c r="BS1167" s="29"/>
      <c r="BT1167" s="29"/>
      <c r="BU1167" s="29"/>
    </row>
    <row r="1168" spans="34:73" x14ac:dyDescent="0.25"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X1168" s="29"/>
      <c r="AY1168" s="29"/>
      <c r="AZ1168" s="29"/>
      <c r="BA1168" s="29"/>
      <c r="BB1168" s="29"/>
      <c r="BC1168" s="29"/>
      <c r="BD1168" s="29"/>
      <c r="BE1168" s="29"/>
      <c r="BF1168" s="29"/>
      <c r="BG1168" s="29"/>
      <c r="BH1168" s="29"/>
      <c r="BI1168" s="29"/>
      <c r="BJ1168" s="29"/>
      <c r="BK1168" s="29"/>
      <c r="BL1168" s="29"/>
      <c r="BM1168" s="29"/>
      <c r="BN1168" s="29"/>
      <c r="BO1168" s="29"/>
      <c r="BP1168" s="29"/>
      <c r="BQ1168" s="29"/>
      <c r="BR1168" s="29"/>
      <c r="BS1168" s="29"/>
      <c r="BT1168" s="29"/>
      <c r="BU1168" s="29"/>
    </row>
    <row r="1169" spans="34:73" x14ac:dyDescent="0.25"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X1169" s="29"/>
      <c r="AY1169" s="29"/>
      <c r="AZ1169" s="29"/>
      <c r="BA1169" s="29"/>
      <c r="BB1169" s="29"/>
      <c r="BC1169" s="29"/>
      <c r="BD1169" s="29"/>
      <c r="BE1169" s="29"/>
      <c r="BF1169" s="29"/>
      <c r="BG1169" s="29"/>
      <c r="BH1169" s="29"/>
      <c r="BI1169" s="29"/>
      <c r="BJ1169" s="29"/>
      <c r="BK1169" s="29"/>
      <c r="BL1169" s="29"/>
      <c r="BM1169" s="29"/>
      <c r="BN1169" s="29"/>
      <c r="BO1169" s="29"/>
      <c r="BP1169" s="29"/>
      <c r="BQ1169" s="29"/>
      <c r="BR1169" s="29"/>
      <c r="BS1169" s="29"/>
      <c r="BT1169" s="29"/>
      <c r="BU1169" s="29"/>
    </row>
    <row r="1170" spans="34:73" x14ac:dyDescent="0.25"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X1170" s="29"/>
      <c r="AY1170" s="29"/>
      <c r="AZ1170" s="29"/>
      <c r="BA1170" s="29"/>
      <c r="BB1170" s="29"/>
      <c r="BC1170" s="29"/>
      <c r="BD1170" s="29"/>
      <c r="BE1170" s="29"/>
      <c r="BF1170" s="29"/>
      <c r="BG1170" s="29"/>
      <c r="BH1170" s="29"/>
      <c r="BI1170" s="29"/>
      <c r="BJ1170" s="29"/>
      <c r="BK1170" s="29"/>
      <c r="BL1170" s="29"/>
      <c r="BM1170" s="29"/>
      <c r="BN1170" s="29"/>
      <c r="BO1170" s="29"/>
      <c r="BP1170" s="29"/>
      <c r="BQ1170" s="29"/>
      <c r="BR1170" s="29"/>
      <c r="BS1170" s="29"/>
      <c r="BT1170" s="29"/>
      <c r="BU1170" s="29"/>
    </row>
    <row r="1171" spans="34:73" x14ac:dyDescent="0.25"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X1171" s="29"/>
      <c r="AY1171" s="29"/>
      <c r="AZ1171" s="29"/>
      <c r="BA1171" s="29"/>
      <c r="BB1171" s="29"/>
      <c r="BC1171" s="29"/>
      <c r="BD1171" s="29"/>
      <c r="BE1171" s="29"/>
      <c r="BF1171" s="29"/>
      <c r="BG1171" s="29"/>
      <c r="BH1171" s="29"/>
      <c r="BI1171" s="29"/>
      <c r="BJ1171" s="29"/>
      <c r="BK1171" s="29"/>
      <c r="BL1171" s="29"/>
      <c r="BM1171" s="29"/>
      <c r="BN1171" s="29"/>
      <c r="BO1171" s="29"/>
      <c r="BP1171" s="29"/>
      <c r="BQ1171" s="29"/>
      <c r="BR1171" s="29"/>
      <c r="BS1171" s="29"/>
      <c r="BT1171" s="29"/>
      <c r="BU1171" s="29"/>
    </row>
    <row r="1172" spans="34:73" x14ac:dyDescent="0.25"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  <c r="AY1172" s="29"/>
      <c r="AZ1172" s="29"/>
      <c r="BA1172" s="29"/>
      <c r="BB1172" s="29"/>
      <c r="BC1172" s="29"/>
      <c r="BD1172" s="29"/>
      <c r="BE1172" s="29"/>
      <c r="BF1172" s="29"/>
      <c r="BG1172" s="29"/>
      <c r="BH1172" s="29"/>
      <c r="BI1172" s="29"/>
      <c r="BJ1172" s="29"/>
      <c r="BK1172" s="29"/>
      <c r="BL1172" s="29"/>
      <c r="BM1172" s="29"/>
      <c r="BN1172" s="29"/>
      <c r="BO1172" s="29"/>
      <c r="BP1172" s="29"/>
      <c r="BQ1172" s="29"/>
      <c r="BR1172" s="29"/>
      <c r="BS1172" s="29"/>
      <c r="BT1172" s="29"/>
      <c r="BU1172" s="29"/>
    </row>
    <row r="1173" spans="34:73" x14ac:dyDescent="0.25"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X1173" s="29"/>
      <c r="AY1173" s="29"/>
      <c r="AZ1173" s="29"/>
      <c r="BA1173" s="29"/>
      <c r="BB1173" s="29"/>
      <c r="BC1173" s="29"/>
      <c r="BD1173" s="29"/>
      <c r="BE1173" s="29"/>
      <c r="BF1173" s="29"/>
      <c r="BG1173" s="29"/>
      <c r="BH1173" s="29"/>
      <c r="BI1173" s="29"/>
      <c r="BJ1173" s="29"/>
      <c r="BK1173" s="29"/>
      <c r="BL1173" s="29"/>
      <c r="BM1173" s="29"/>
      <c r="BN1173" s="29"/>
      <c r="BO1173" s="29"/>
      <c r="BP1173" s="29"/>
      <c r="BQ1173" s="29"/>
      <c r="BR1173" s="29"/>
      <c r="BS1173" s="29"/>
      <c r="BT1173" s="29"/>
      <c r="BU1173" s="29"/>
    </row>
    <row r="1174" spans="34:73" x14ac:dyDescent="0.25"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X1174" s="29"/>
      <c r="AY1174" s="29"/>
      <c r="AZ1174" s="29"/>
      <c r="BA1174" s="29"/>
      <c r="BB1174" s="29"/>
      <c r="BC1174" s="29"/>
      <c r="BD1174" s="29"/>
      <c r="BE1174" s="29"/>
      <c r="BF1174" s="29"/>
      <c r="BG1174" s="29"/>
      <c r="BH1174" s="29"/>
      <c r="BI1174" s="29"/>
      <c r="BJ1174" s="29"/>
      <c r="BK1174" s="29"/>
      <c r="BL1174" s="29"/>
      <c r="BM1174" s="29"/>
      <c r="BN1174" s="29"/>
      <c r="BO1174" s="29"/>
      <c r="BP1174" s="29"/>
      <c r="BQ1174" s="29"/>
      <c r="BR1174" s="29"/>
      <c r="BS1174" s="29"/>
      <c r="BT1174" s="29"/>
      <c r="BU1174" s="29"/>
    </row>
    <row r="1175" spans="34:73" x14ac:dyDescent="0.25"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  <c r="AY1175" s="29"/>
      <c r="AZ1175" s="29"/>
      <c r="BA1175" s="29"/>
      <c r="BB1175" s="29"/>
      <c r="BC1175" s="29"/>
      <c r="BD1175" s="29"/>
      <c r="BE1175" s="29"/>
      <c r="BF1175" s="29"/>
      <c r="BG1175" s="29"/>
      <c r="BH1175" s="29"/>
      <c r="BI1175" s="29"/>
      <c r="BJ1175" s="29"/>
      <c r="BK1175" s="29"/>
      <c r="BL1175" s="29"/>
      <c r="BM1175" s="29"/>
      <c r="BN1175" s="29"/>
      <c r="BO1175" s="29"/>
      <c r="BP1175" s="29"/>
      <c r="BQ1175" s="29"/>
      <c r="BR1175" s="29"/>
      <c r="BS1175" s="29"/>
      <c r="BT1175" s="29"/>
      <c r="BU1175" s="29"/>
    </row>
    <row r="1176" spans="34:73" x14ac:dyDescent="0.25"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/>
      <c r="AV1176" s="29"/>
      <c r="AW1176" s="29"/>
      <c r="AX1176" s="29"/>
      <c r="AY1176" s="29"/>
      <c r="AZ1176" s="29"/>
      <c r="BA1176" s="29"/>
      <c r="BB1176" s="29"/>
      <c r="BC1176" s="29"/>
      <c r="BD1176" s="29"/>
      <c r="BE1176" s="29"/>
      <c r="BF1176" s="29"/>
      <c r="BG1176" s="29"/>
      <c r="BH1176" s="29"/>
      <c r="BI1176" s="29"/>
      <c r="BJ1176" s="29"/>
      <c r="BK1176" s="29"/>
      <c r="BL1176" s="29"/>
      <c r="BM1176" s="29"/>
      <c r="BN1176" s="29"/>
      <c r="BO1176" s="29"/>
      <c r="BP1176" s="29"/>
      <c r="BQ1176" s="29"/>
      <c r="BR1176" s="29"/>
      <c r="BS1176" s="29"/>
      <c r="BT1176" s="29"/>
      <c r="BU1176" s="29"/>
    </row>
    <row r="1177" spans="34:73" x14ac:dyDescent="0.25"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X1177" s="29"/>
      <c r="AY1177" s="29"/>
      <c r="AZ1177" s="29"/>
      <c r="BA1177" s="29"/>
      <c r="BB1177" s="29"/>
      <c r="BC1177" s="29"/>
      <c r="BD1177" s="29"/>
      <c r="BE1177" s="29"/>
      <c r="BF1177" s="29"/>
      <c r="BG1177" s="29"/>
      <c r="BH1177" s="29"/>
      <c r="BI1177" s="29"/>
      <c r="BJ1177" s="29"/>
      <c r="BK1177" s="29"/>
      <c r="BL1177" s="29"/>
      <c r="BM1177" s="29"/>
      <c r="BN1177" s="29"/>
      <c r="BO1177" s="29"/>
      <c r="BP1177" s="29"/>
      <c r="BQ1177" s="29"/>
      <c r="BR1177" s="29"/>
      <c r="BS1177" s="29"/>
      <c r="BT1177" s="29"/>
      <c r="BU1177" s="29"/>
    </row>
    <row r="1178" spans="34:73" x14ac:dyDescent="0.25"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29"/>
      <c r="AX1178" s="29"/>
      <c r="AY1178" s="29"/>
      <c r="AZ1178" s="29"/>
      <c r="BA1178" s="29"/>
      <c r="BB1178" s="29"/>
      <c r="BC1178" s="29"/>
      <c r="BD1178" s="29"/>
      <c r="BE1178" s="29"/>
      <c r="BF1178" s="29"/>
      <c r="BG1178" s="29"/>
      <c r="BH1178" s="29"/>
      <c r="BI1178" s="29"/>
      <c r="BJ1178" s="29"/>
      <c r="BK1178" s="29"/>
      <c r="BL1178" s="29"/>
      <c r="BM1178" s="29"/>
      <c r="BN1178" s="29"/>
      <c r="BO1178" s="29"/>
      <c r="BP1178" s="29"/>
      <c r="BQ1178" s="29"/>
      <c r="BR1178" s="29"/>
      <c r="BS1178" s="29"/>
      <c r="BT1178" s="29"/>
      <c r="BU1178" s="29"/>
    </row>
    <row r="1179" spans="34:73" x14ac:dyDescent="0.25"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/>
      <c r="AV1179" s="29"/>
      <c r="AW1179" s="29"/>
      <c r="AX1179" s="29"/>
      <c r="AY1179" s="29"/>
      <c r="AZ1179" s="29"/>
      <c r="BA1179" s="29"/>
      <c r="BB1179" s="29"/>
      <c r="BC1179" s="29"/>
      <c r="BD1179" s="29"/>
      <c r="BE1179" s="29"/>
      <c r="BF1179" s="29"/>
      <c r="BG1179" s="29"/>
      <c r="BH1179" s="29"/>
      <c r="BI1179" s="29"/>
      <c r="BJ1179" s="29"/>
      <c r="BK1179" s="29"/>
      <c r="BL1179" s="29"/>
      <c r="BM1179" s="29"/>
      <c r="BN1179" s="29"/>
      <c r="BO1179" s="29"/>
      <c r="BP1179" s="29"/>
      <c r="BQ1179" s="29"/>
      <c r="BR1179" s="29"/>
      <c r="BS1179" s="29"/>
      <c r="BT1179" s="29"/>
      <c r="BU1179" s="29"/>
    </row>
    <row r="1180" spans="34:73" x14ac:dyDescent="0.25"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29"/>
      <c r="AX1180" s="29"/>
      <c r="AY1180" s="29"/>
      <c r="AZ1180" s="29"/>
      <c r="BA1180" s="29"/>
      <c r="BB1180" s="29"/>
      <c r="BC1180" s="29"/>
      <c r="BD1180" s="29"/>
      <c r="BE1180" s="29"/>
      <c r="BF1180" s="29"/>
      <c r="BG1180" s="29"/>
      <c r="BH1180" s="29"/>
      <c r="BI1180" s="29"/>
      <c r="BJ1180" s="29"/>
      <c r="BK1180" s="29"/>
      <c r="BL1180" s="29"/>
      <c r="BM1180" s="29"/>
      <c r="BN1180" s="29"/>
      <c r="BO1180" s="29"/>
      <c r="BP1180" s="29"/>
      <c r="BQ1180" s="29"/>
      <c r="BR1180" s="29"/>
      <c r="BS1180" s="29"/>
      <c r="BT1180" s="29"/>
      <c r="BU1180" s="29"/>
    </row>
    <row r="1181" spans="34:73" x14ac:dyDescent="0.25">
      <c r="AH1181" s="29"/>
      <c r="AI1181" s="29"/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  <c r="AT1181" s="29"/>
      <c r="AU1181" s="29"/>
      <c r="AV1181" s="29"/>
      <c r="AW1181" s="29"/>
      <c r="AX1181" s="29"/>
      <c r="AY1181" s="29"/>
      <c r="AZ1181" s="29"/>
      <c r="BA1181" s="29"/>
      <c r="BB1181" s="29"/>
      <c r="BC1181" s="29"/>
      <c r="BD1181" s="29"/>
      <c r="BE1181" s="29"/>
      <c r="BF1181" s="29"/>
      <c r="BG1181" s="29"/>
      <c r="BH1181" s="29"/>
      <c r="BI1181" s="29"/>
      <c r="BJ1181" s="29"/>
      <c r="BK1181" s="29"/>
      <c r="BL1181" s="29"/>
      <c r="BM1181" s="29"/>
      <c r="BN1181" s="29"/>
      <c r="BO1181" s="29"/>
      <c r="BP1181" s="29"/>
      <c r="BQ1181" s="29"/>
      <c r="BR1181" s="29"/>
      <c r="BS1181" s="29"/>
      <c r="BT1181" s="29"/>
      <c r="BU1181" s="29"/>
    </row>
    <row r="1182" spans="34:73" x14ac:dyDescent="0.25"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  <c r="AY1182" s="29"/>
      <c r="AZ1182" s="29"/>
      <c r="BA1182" s="29"/>
      <c r="BB1182" s="29"/>
      <c r="BC1182" s="29"/>
      <c r="BD1182" s="29"/>
      <c r="BE1182" s="29"/>
      <c r="BF1182" s="29"/>
      <c r="BG1182" s="29"/>
      <c r="BH1182" s="29"/>
      <c r="BI1182" s="29"/>
      <c r="BJ1182" s="29"/>
      <c r="BK1182" s="29"/>
      <c r="BL1182" s="29"/>
      <c r="BM1182" s="29"/>
      <c r="BN1182" s="29"/>
      <c r="BO1182" s="29"/>
      <c r="BP1182" s="29"/>
      <c r="BQ1182" s="29"/>
      <c r="BR1182" s="29"/>
      <c r="BS1182" s="29"/>
      <c r="BT1182" s="29"/>
      <c r="BU1182" s="29"/>
    </row>
    <row r="1183" spans="34:73" x14ac:dyDescent="0.25"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X1183" s="29"/>
      <c r="AY1183" s="29"/>
      <c r="AZ1183" s="29"/>
      <c r="BA1183" s="29"/>
      <c r="BB1183" s="29"/>
      <c r="BC1183" s="29"/>
      <c r="BD1183" s="29"/>
      <c r="BE1183" s="29"/>
      <c r="BF1183" s="29"/>
      <c r="BG1183" s="29"/>
      <c r="BH1183" s="29"/>
      <c r="BI1183" s="29"/>
      <c r="BJ1183" s="29"/>
      <c r="BK1183" s="29"/>
      <c r="BL1183" s="29"/>
      <c r="BM1183" s="29"/>
      <c r="BN1183" s="29"/>
      <c r="BO1183" s="29"/>
      <c r="BP1183" s="29"/>
      <c r="BQ1183" s="29"/>
      <c r="BR1183" s="29"/>
      <c r="BS1183" s="29"/>
      <c r="BT1183" s="29"/>
      <c r="BU1183" s="29"/>
    </row>
    <row r="1184" spans="34:73" x14ac:dyDescent="0.25"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X1184" s="29"/>
      <c r="AY1184" s="29"/>
      <c r="AZ1184" s="29"/>
      <c r="BA1184" s="29"/>
      <c r="BB1184" s="29"/>
      <c r="BC1184" s="29"/>
      <c r="BD1184" s="29"/>
      <c r="BE1184" s="29"/>
      <c r="BF1184" s="29"/>
      <c r="BG1184" s="29"/>
      <c r="BH1184" s="29"/>
      <c r="BI1184" s="29"/>
      <c r="BJ1184" s="29"/>
      <c r="BK1184" s="29"/>
      <c r="BL1184" s="29"/>
      <c r="BM1184" s="29"/>
      <c r="BN1184" s="29"/>
      <c r="BO1184" s="29"/>
      <c r="BP1184" s="29"/>
      <c r="BQ1184" s="29"/>
      <c r="BR1184" s="29"/>
      <c r="BS1184" s="29"/>
      <c r="BT1184" s="29"/>
      <c r="BU1184" s="29"/>
    </row>
    <row r="1185" spans="34:73" x14ac:dyDescent="0.25"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X1185" s="29"/>
      <c r="AY1185" s="29"/>
      <c r="AZ1185" s="29"/>
      <c r="BA1185" s="29"/>
      <c r="BB1185" s="29"/>
      <c r="BC1185" s="29"/>
      <c r="BD1185" s="29"/>
      <c r="BE1185" s="29"/>
      <c r="BF1185" s="29"/>
      <c r="BG1185" s="29"/>
      <c r="BH1185" s="29"/>
      <c r="BI1185" s="29"/>
      <c r="BJ1185" s="29"/>
      <c r="BK1185" s="29"/>
      <c r="BL1185" s="29"/>
      <c r="BM1185" s="29"/>
      <c r="BN1185" s="29"/>
      <c r="BO1185" s="29"/>
      <c r="BP1185" s="29"/>
      <c r="BQ1185" s="29"/>
      <c r="BR1185" s="29"/>
      <c r="BS1185" s="29"/>
      <c r="BT1185" s="29"/>
      <c r="BU1185" s="29"/>
    </row>
    <row r="1186" spans="34:73" x14ac:dyDescent="0.25">
      <c r="AH1186" s="29"/>
      <c r="AI1186" s="29"/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  <c r="AT1186" s="29"/>
      <c r="AU1186" s="29"/>
      <c r="AV1186" s="29"/>
      <c r="AW1186" s="29"/>
      <c r="AX1186" s="29"/>
      <c r="AY1186" s="29"/>
      <c r="AZ1186" s="29"/>
      <c r="BA1186" s="29"/>
      <c r="BB1186" s="29"/>
      <c r="BC1186" s="29"/>
      <c r="BD1186" s="29"/>
      <c r="BE1186" s="29"/>
      <c r="BF1186" s="29"/>
      <c r="BG1186" s="29"/>
      <c r="BH1186" s="29"/>
      <c r="BI1186" s="29"/>
      <c r="BJ1186" s="29"/>
      <c r="BK1186" s="29"/>
      <c r="BL1186" s="29"/>
      <c r="BM1186" s="29"/>
      <c r="BN1186" s="29"/>
      <c r="BO1186" s="29"/>
      <c r="BP1186" s="29"/>
      <c r="BQ1186" s="29"/>
      <c r="BR1186" s="29"/>
      <c r="BS1186" s="29"/>
      <c r="BT1186" s="29"/>
      <c r="BU1186" s="29"/>
    </row>
    <row r="1187" spans="34:73" x14ac:dyDescent="0.25"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X1187" s="29"/>
      <c r="AY1187" s="29"/>
      <c r="AZ1187" s="29"/>
      <c r="BA1187" s="29"/>
      <c r="BB1187" s="29"/>
      <c r="BC1187" s="29"/>
      <c r="BD1187" s="29"/>
      <c r="BE1187" s="29"/>
      <c r="BF1187" s="29"/>
      <c r="BG1187" s="29"/>
      <c r="BH1187" s="29"/>
      <c r="BI1187" s="29"/>
      <c r="BJ1187" s="29"/>
      <c r="BK1187" s="29"/>
      <c r="BL1187" s="29"/>
      <c r="BM1187" s="29"/>
      <c r="BN1187" s="29"/>
      <c r="BO1187" s="29"/>
      <c r="BP1187" s="29"/>
      <c r="BQ1187" s="29"/>
      <c r="BR1187" s="29"/>
      <c r="BS1187" s="29"/>
      <c r="BT1187" s="29"/>
      <c r="BU1187" s="29"/>
    </row>
    <row r="1188" spans="34:73" x14ac:dyDescent="0.25"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X1188" s="29"/>
      <c r="AY1188" s="29"/>
      <c r="AZ1188" s="29"/>
      <c r="BA1188" s="29"/>
      <c r="BB1188" s="29"/>
      <c r="BC1188" s="29"/>
      <c r="BD1188" s="29"/>
      <c r="BE1188" s="29"/>
      <c r="BF1188" s="29"/>
      <c r="BG1188" s="29"/>
      <c r="BH1188" s="29"/>
      <c r="BI1188" s="29"/>
      <c r="BJ1188" s="29"/>
      <c r="BK1188" s="29"/>
      <c r="BL1188" s="29"/>
      <c r="BM1188" s="29"/>
      <c r="BN1188" s="29"/>
      <c r="BO1188" s="29"/>
      <c r="BP1188" s="29"/>
      <c r="BQ1188" s="29"/>
      <c r="BR1188" s="29"/>
      <c r="BS1188" s="29"/>
      <c r="BT1188" s="29"/>
      <c r="BU1188" s="29"/>
    </row>
    <row r="1189" spans="34:73" x14ac:dyDescent="0.25">
      <c r="AH1189" s="29"/>
      <c r="AI1189" s="29"/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  <c r="AT1189" s="29"/>
      <c r="AU1189" s="29"/>
      <c r="AV1189" s="29"/>
      <c r="AW1189" s="29"/>
      <c r="AX1189" s="29"/>
      <c r="AY1189" s="29"/>
      <c r="AZ1189" s="29"/>
      <c r="BA1189" s="29"/>
      <c r="BB1189" s="29"/>
      <c r="BC1189" s="29"/>
      <c r="BD1189" s="29"/>
      <c r="BE1189" s="29"/>
      <c r="BF1189" s="29"/>
      <c r="BG1189" s="29"/>
      <c r="BH1189" s="29"/>
      <c r="BI1189" s="29"/>
      <c r="BJ1189" s="29"/>
      <c r="BK1189" s="29"/>
      <c r="BL1189" s="29"/>
      <c r="BM1189" s="29"/>
      <c r="BN1189" s="29"/>
      <c r="BO1189" s="29"/>
      <c r="BP1189" s="29"/>
      <c r="BQ1189" s="29"/>
      <c r="BR1189" s="29"/>
      <c r="BS1189" s="29"/>
      <c r="BT1189" s="29"/>
      <c r="BU1189" s="29"/>
    </row>
    <row r="1190" spans="34:73" x14ac:dyDescent="0.25">
      <c r="AH1190" s="29"/>
      <c r="AI1190" s="29"/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  <c r="AT1190" s="29"/>
      <c r="AU1190" s="29"/>
      <c r="AV1190" s="29"/>
      <c r="AW1190" s="29"/>
      <c r="AX1190" s="29"/>
      <c r="AY1190" s="29"/>
      <c r="AZ1190" s="29"/>
      <c r="BA1190" s="29"/>
      <c r="BB1190" s="29"/>
      <c r="BC1190" s="29"/>
      <c r="BD1190" s="29"/>
      <c r="BE1190" s="29"/>
      <c r="BF1190" s="29"/>
      <c r="BG1190" s="29"/>
      <c r="BH1190" s="29"/>
      <c r="BI1190" s="29"/>
      <c r="BJ1190" s="29"/>
      <c r="BK1190" s="29"/>
      <c r="BL1190" s="29"/>
      <c r="BM1190" s="29"/>
      <c r="BN1190" s="29"/>
      <c r="BO1190" s="29"/>
      <c r="BP1190" s="29"/>
      <c r="BQ1190" s="29"/>
      <c r="BR1190" s="29"/>
      <c r="BS1190" s="29"/>
      <c r="BT1190" s="29"/>
      <c r="BU1190" s="29"/>
    </row>
    <row r="1191" spans="34:73" x14ac:dyDescent="0.25">
      <c r="AH1191" s="29"/>
      <c r="AI1191" s="29"/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  <c r="AT1191" s="29"/>
      <c r="AU1191" s="29"/>
      <c r="AV1191" s="29"/>
      <c r="AW1191" s="29"/>
      <c r="AX1191" s="29"/>
      <c r="AY1191" s="29"/>
      <c r="AZ1191" s="29"/>
      <c r="BA1191" s="29"/>
      <c r="BB1191" s="29"/>
      <c r="BC1191" s="29"/>
      <c r="BD1191" s="29"/>
      <c r="BE1191" s="29"/>
      <c r="BF1191" s="29"/>
      <c r="BG1191" s="29"/>
      <c r="BH1191" s="29"/>
      <c r="BI1191" s="29"/>
      <c r="BJ1191" s="29"/>
      <c r="BK1191" s="29"/>
      <c r="BL1191" s="29"/>
      <c r="BM1191" s="29"/>
      <c r="BN1191" s="29"/>
      <c r="BO1191" s="29"/>
      <c r="BP1191" s="29"/>
      <c r="BQ1191" s="29"/>
      <c r="BR1191" s="29"/>
      <c r="BS1191" s="29"/>
      <c r="BT1191" s="29"/>
      <c r="BU1191" s="29"/>
    </row>
    <row r="1192" spans="34:73" x14ac:dyDescent="0.25"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  <c r="AY1192" s="29"/>
      <c r="AZ1192" s="29"/>
      <c r="BA1192" s="29"/>
      <c r="BB1192" s="29"/>
      <c r="BC1192" s="29"/>
      <c r="BD1192" s="29"/>
      <c r="BE1192" s="29"/>
      <c r="BF1192" s="29"/>
      <c r="BG1192" s="29"/>
      <c r="BH1192" s="29"/>
      <c r="BI1192" s="29"/>
      <c r="BJ1192" s="29"/>
      <c r="BK1192" s="29"/>
      <c r="BL1192" s="29"/>
      <c r="BM1192" s="29"/>
      <c r="BN1192" s="29"/>
      <c r="BO1192" s="29"/>
      <c r="BP1192" s="29"/>
      <c r="BQ1192" s="29"/>
      <c r="BR1192" s="29"/>
      <c r="BS1192" s="29"/>
      <c r="BT1192" s="29"/>
      <c r="BU1192" s="29"/>
    </row>
    <row r="1193" spans="34:73" x14ac:dyDescent="0.25">
      <c r="AH1193" s="29"/>
      <c r="AI1193" s="29"/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X1193" s="29"/>
      <c r="AY1193" s="29"/>
      <c r="AZ1193" s="29"/>
      <c r="BA1193" s="29"/>
      <c r="BB1193" s="29"/>
      <c r="BC1193" s="29"/>
      <c r="BD1193" s="29"/>
      <c r="BE1193" s="29"/>
      <c r="BF1193" s="29"/>
      <c r="BG1193" s="29"/>
      <c r="BH1193" s="29"/>
      <c r="BI1193" s="29"/>
      <c r="BJ1193" s="29"/>
      <c r="BK1193" s="29"/>
      <c r="BL1193" s="29"/>
      <c r="BM1193" s="29"/>
      <c r="BN1193" s="29"/>
      <c r="BO1193" s="29"/>
      <c r="BP1193" s="29"/>
      <c r="BQ1193" s="29"/>
      <c r="BR1193" s="29"/>
      <c r="BS1193" s="29"/>
      <c r="BT1193" s="29"/>
      <c r="BU1193" s="29"/>
    </row>
    <row r="1194" spans="34:73" x14ac:dyDescent="0.25">
      <c r="AH1194" s="29"/>
      <c r="AI1194" s="29"/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X1194" s="29"/>
      <c r="AY1194" s="29"/>
      <c r="AZ1194" s="29"/>
      <c r="BA1194" s="29"/>
      <c r="BB1194" s="29"/>
      <c r="BC1194" s="29"/>
      <c r="BD1194" s="29"/>
      <c r="BE1194" s="29"/>
      <c r="BF1194" s="29"/>
      <c r="BG1194" s="29"/>
      <c r="BH1194" s="29"/>
      <c r="BI1194" s="29"/>
      <c r="BJ1194" s="29"/>
      <c r="BK1194" s="29"/>
      <c r="BL1194" s="29"/>
      <c r="BM1194" s="29"/>
      <c r="BN1194" s="29"/>
      <c r="BO1194" s="29"/>
      <c r="BP1194" s="29"/>
      <c r="BQ1194" s="29"/>
      <c r="BR1194" s="29"/>
      <c r="BS1194" s="29"/>
      <c r="BT1194" s="29"/>
      <c r="BU1194" s="29"/>
    </row>
    <row r="1195" spans="34:73" x14ac:dyDescent="0.25"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  <c r="AY1195" s="29"/>
      <c r="AZ1195" s="29"/>
      <c r="BA1195" s="29"/>
      <c r="BB1195" s="29"/>
      <c r="BC1195" s="29"/>
      <c r="BD1195" s="29"/>
      <c r="BE1195" s="29"/>
      <c r="BF1195" s="29"/>
      <c r="BG1195" s="29"/>
      <c r="BH1195" s="29"/>
      <c r="BI1195" s="29"/>
      <c r="BJ1195" s="29"/>
      <c r="BK1195" s="29"/>
      <c r="BL1195" s="29"/>
      <c r="BM1195" s="29"/>
      <c r="BN1195" s="29"/>
      <c r="BO1195" s="29"/>
      <c r="BP1195" s="29"/>
      <c r="BQ1195" s="29"/>
      <c r="BR1195" s="29"/>
      <c r="BS1195" s="29"/>
      <c r="BT1195" s="29"/>
      <c r="BU1195" s="29"/>
    </row>
    <row r="1196" spans="34:73" x14ac:dyDescent="0.25">
      <c r="AH1196" s="29"/>
      <c r="AI1196" s="29"/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X1196" s="29"/>
      <c r="AY1196" s="29"/>
      <c r="AZ1196" s="29"/>
      <c r="BA1196" s="29"/>
      <c r="BB1196" s="29"/>
      <c r="BC1196" s="29"/>
      <c r="BD1196" s="29"/>
      <c r="BE1196" s="29"/>
      <c r="BF1196" s="29"/>
      <c r="BG1196" s="29"/>
      <c r="BH1196" s="29"/>
      <c r="BI1196" s="29"/>
      <c r="BJ1196" s="29"/>
      <c r="BK1196" s="29"/>
      <c r="BL1196" s="29"/>
      <c r="BM1196" s="29"/>
      <c r="BN1196" s="29"/>
      <c r="BO1196" s="29"/>
      <c r="BP1196" s="29"/>
      <c r="BQ1196" s="29"/>
      <c r="BR1196" s="29"/>
      <c r="BS1196" s="29"/>
      <c r="BT1196" s="29"/>
      <c r="BU1196" s="29"/>
    </row>
    <row r="1197" spans="34:73" x14ac:dyDescent="0.25"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  <c r="AY1197" s="29"/>
      <c r="AZ1197" s="29"/>
      <c r="BA1197" s="29"/>
      <c r="BB1197" s="29"/>
      <c r="BC1197" s="29"/>
      <c r="BD1197" s="29"/>
      <c r="BE1197" s="29"/>
      <c r="BF1197" s="29"/>
      <c r="BG1197" s="29"/>
      <c r="BH1197" s="29"/>
      <c r="BI1197" s="29"/>
      <c r="BJ1197" s="29"/>
      <c r="BK1197" s="29"/>
      <c r="BL1197" s="29"/>
      <c r="BM1197" s="29"/>
      <c r="BN1197" s="29"/>
      <c r="BO1197" s="29"/>
      <c r="BP1197" s="29"/>
      <c r="BQ1197" s="29"/>
      <c r="BR1197" s="29"/>
      <c r="BS1197" s="29"/>
      <c r="BT1197" s="29"/>
      <c r="BU1197" s="29"/>
    </row>
    <row r="1198" spans="34:73" x14ac:dyDescent="0.25"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  <c r="AY1198" s="29"/>
      <c r="AZ1198" s="29"/>
      <c r="BA1198" s="29"/>
      <c r="BB1198" s="29"/>
      <c r="BC1198" s="29"/>
      <c r="BD1198" s="29"/>
      <c r="BE1198" s="29"/>
      <c r="BF1198" s="29"/>
      <c r="BG1198" s="29"/>
      <c r="BH1198" s="29"/>
      <c r="BI1198" s="29"/>
      <c r="BJ1198" s="29"/>
      <c r="BK1198" s="29"/>
      <c r="BL1198" s="29"/>
      <c r="BM1198" s="29"/>
      <c r="BN1198" s="29"/>
      <c r="BO1198" s="29"/>
      <c r="BP1198" s="29"/>
      <c r="BQ1198" s="29"/>
      <c r="BR1198" s="29"/>
      <c r="BS1198" s="29"/>
      <c r="BT1198" s="29"/>
      <c r="BU1198" s="29"/>
    </row>
    <row r="1199" spans="34:73" x14ac:dyDescent="0.25"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  <c r="AY1199" s="29"/>
      <c r="AZ1199" s="29"/>
      <c r="BA1199" s="29"/>
      <c r="BB1199" s="29"/>
      <c r="BC1199" s="29"/>
      <c r="BD1199" s="29"/>
      <c r="BE1199" s="29"/>
      <c r="BF1199" s="29"/>
      <c r="BG1199" s="29"/>
      <c r="BH1199" s="29"/>
      <c r="BI1199" s="29"/>
      <c r="BJ1199" s="29"/>
      <c r="BK1199" s="29"/>
      <c r="BL1199" s="29"/>
      <c r="BM1199" s="29"/>
      <c r="BN1199" s="29"/>
      <c r="BO1199" s="29"/>
      <c r="BP1199" s="29"/>
      <c r="BQ1199" s="29"/>
      <c r="BR1199" s="29"/>
      <c r="BS1199" s="29"/>
      <c r="BT1199" s="29"/>
      <c r="BU1199" s="29"/>
    </row>
    <row r="1200" spans="34:73" x14ac:dyDescent="0.25">
      <c r="AH1200" s="29"/>
      <c r="AI1200" s="29"/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X1200" s="29"/>
      <c r="AY1200" s="29"/>
      <c r="AZ1200" s="29"/>
      <c r="BA1200" s="29"/>
      <c r="BB1200" s="29"/>
      <c r="BC1200" s="29"/>
      <c r="BD1200" s="29"/>
      <c r="BE1200" s="29"/>
      <c r="BF1200" s="29"/>
      <c r="BG1200" s="29"/>
      <c r="BH1200" s="29"/>
      <c r="BI1200" s="29"/>
      <c r="BJ1200" s="29"/>
      <c r="BK1200" s="29"/>
      <c r="BL1200" s="29"/>
      <c r="BM1200" s="29"/>
      <c r="BN1200" s="29"/>
      <c r="BO1200" s="29"/>
      <c r="BP1200" s="29"/>
      <c r="BQ1200" s="29"/>
      <c r="BR1200" s="29"/>
      <c r="BS1200" s="29"/>
      <c r="BT1200" s="29"/>
      <c r="BU1200" s="29"/>
    </row>
    <row r="1201" spans="34:73" x14ac:dyDescent="0.25"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29"/>
      <c r="BB1201" s="29"/>
      <c r="BC1201" s="29"/>
      <c r="BD1201" s="29"/>
      <c r="BE1201" s="29"/>
      <c r="BF1201" s="29"/>
      <c r="BG1201" s="29"/>
      <c r="BH1201" s="29"/>
      <c r="BI1201" s="29"/>
      <c r="BJ1201" s="29"/>
      <c r="BK1201" s="29"/>
      <c r="BL1201" s="29"/>
      <c r="BM1201" s="29"/>
      <c r="BN1201" s="29"/>
      <c r="BO1201" s="29"/>
      <c r="BP1201" s="29"/>
      <c r="BQ1201" s="29"/>
      <c r="BR1201" s="29"/>
      <c r="BS1201" s="29"/>
      <c r="BT1201" s="29"/>
      <c r="BU1201" s="29"/>
    </row>
    <row r="1202" spans="34:73" x14ac:dyDescent="0.25"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X1202" s="29"/>
      <c r="AY1202" s="29"/>
      <c r="AZ1202" s="29"/>
      <c r="BA1202" s="29"/>
      <c r="BB1202" s="29"/>
      <c r="BC1202" s="29"/>
      <c r="BD1202" s="29"/>
      <c r="BE1202" s="29"/>
      <c r="BF1202" s="29"/>
      <c r="BG1202" s="29"/>
      <c r="BH1202" s="29"/>
      <c r="BI1202" s="29"/>
      <c r="BJ1202" s="29"/>
      <c r="BK1202" s="29"/>
      <c r="BL1202" s="29"/>
      <c r="BM1202" s="29"/>
      <c r="BN1202" s="29"/>
      <c r="BO1202" s="29"/>
      <c r="BP1202" s="29"/>
      <c r="BQ1202" s="29"/>
      <c r="BR1202" s="29"/>
      <c r="BS1202" s="29"/>
      <c r="BT1202" s="29"/>
      <c r="BU1202" s="29"/>
    </row>
    <row r="1203" spans="34:73" x14ac:dyDescent="0.25">
      <c r="AH1203" s="29"/>
      <c r="AI1203" s="29"/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X1203" s="29"/>
      <c r="AY1203" s="29"/>
      <c r="AZ1203" s="29"/>
      <c r="BA1203" s="29"/>
      <c r="BB1203" s="29"/>
      <c r="BC1203" s="29"/>
      <c r="BD1203" s="29"/>
      <c r="BE1203" s="29"/>
      <c r="BF1203" s="29"/>
      <c r="BG1203" s="29"/>
      <c r="BH1203" s="29"/>
      <c r="BI1203" s="29"/>
      <c r="BJ1203" s="29"/>
      <c r="BK1203" s="29"/>
      <c r="BL1203" s="29"/>
      <c r="BM1203" s="29"/>
      <c r="BN1203" s="29"/>
      <c r="BO1203" s="29"/>
      <c r="BP1203" s="29"/>
      <c r="BQ1203" s="29"/>
      <c r="BR1203" s="29"/>
      <c r="BS1203" s="29"/>
      <c r="BT1203" s="29"/>
      <c r="BU1203" s="29"/>
    </row>
    <row r="1204" spans="34:73" x14ac:dyDescent="0.25">
      <c r="AH1204" s="29"/>
      <c r="AI1204" s="29"/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X1204" s="29"/>
      <c r="AY1204" s="29"/>
      <c r="AZ1204" s="29"/>
      <c r="BA1204" s="29"/>
      <c r="BB1204" s="29"/>
      <c r="BC1204" s="29"/>
      <c r="BD1204" s="29"/>
      <c r="BE1204" s="29"/>
      <c r="BF1204" s="29"/>
      <c r="BG1204" s="29"/>
      <c r="BH1204" s="29"/>
      <c r="BI1204" s="29"/>
      <c r="BJ1204" s="29"/>
      <c r="BK1204" s="29"/>
      <c r="BL1204" s="29"/>
      <c r="BM1204" s="29"/>
      <c r="BN1204" s="29"/>
      <c r="BO1204" s="29"/>
      <c r="BP1204" s="29"/>
      <c r="BQ1204" s="29"/>
      <c r="BR1204" s="29"/>
      <c r="BS1204" s="29"/>
      <c r="BT1204" s="29"/>
      <c r="BU1204" s="29"/>
    </row>
    <row r="1205" spans="34:73" x14ac:dyDescent="0.25">
      <c r="AH1205" s="29"/>
      <c r="AI1205" s="29"/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X1205" s="29"/>
      <c r="AY1205" s="29"/>
      <c r="AZ1205" s="29"/>
      <c r="BA1205" s="29"/>
      <c r="BB1205" s="29"/>
      <c r="BC1205" s="29"/>
      <c r="BD1205" s="29"/>
      <c r="BE1205" s="29"/>
      <c r="BF1205" s="29"/>
      <c r="BG1205" s="29"/>
      <c r="BH1205" s="29"/>
      <c r="BI1205" s="29"/>
      <c r="BJ1205" s="29"/>
      <c r="BK1205" s="29"/>
      <c r="BL1205" s="29"/>
      <c r="BM1205" s="29"/>
      <c r="BN1205" s="29"/>
      <c r="BO1205" s="29"/>
      <c r="BP1205" s="29"/>
      <c r="BQ1205" s="29"/>
      <c r="BR1205" s="29"/>
      <c r="BS1205" s="29"/>
      <c r="BT1205" s="29"/>
      <c r="BU1205" s="29"/>
    </row>
    <row r="1206" spans="34:73" x14ac:dyDescent="0.25"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  <c r="AY1206" s="29"/>
      <c r="AZ1206" s="29"/>
      <c r="BA1206" s="29"/>
      <c r="BB1206" s="29"/>
      <c r="BC1206" s="29"/>
      <c r="BD1206" s="29"/>
      <c r="BE1206" s="29"/>
      <c r="BF1206" s="29"/>
      <c r="BG1206" s="29"/>
      <c r="BH1206" s="29"/>
      <c r="BI1206" s="29"/>
      <c r="BJ1206" s="29"/>
      <c r="BK1206" s="29"/>
      <c r="BL1206" s="29"/>
      <c r="BM1206" s="29"/>
      <c r="BN1206" s="29"/>
      <c r="BO1206" s="29"/>
      <c r="BP1206" s="29"/>
      <c r="BQ1206" s="29"/>
      <c r="BR1206" s="29"/>
      <c r="BS1206" s="29"/>
      <c r="BT1206" s="29"/>
      <c r="BU1206" s="29"/>
    </row>
    <row r="1207" spans="34:73" x14ac:dyDescent="0.25">
      <c r="AH1207" s="29"/>
      <c r="AI1207" s="29"/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X1207" s="29"/>
      <c r="AY1207" s="29"/>
      <c r="AZ1207" s="29"/>
      <c r="BA1207" s="29"/>
      <c r="BB1207" s="29"/>
      <c r="BC1207" s="29"/>
      <c r="BD1207" s="29"/>
      <c r="BE1207" s="29"/>
      <c r="BF1207" s="29"/>
      <c r="BG1207" s="29"/>
      <c r="BH1207" s="29"/>
      <c r="BI1207" s="29"/>
      <c r="BJ1207" s="29"/>
      <c r="BK1207" s="29"/>
      <c r="BL1207" s="29"/>
      <c r="BM1207" s="29"/>
      <c r="BN1207" s="29"/>
      <c r="BO1207" s="29"/>
      <c r="BP1207" s="29"/>
      <c r="BQ1207" s="29"/>
      <c r="BR1207" s="29"/>
      <c r="BS1207" s="29"/>
      <c r="BT1207" s="29"/>
      <c r="BU1207" s="29"/>
    </row>
    <row r="1208" spans="34:73" x14ac:dyDescent="0.25">
      <c r="AH1208" s="29"/>
      <c r="AI1208" s="29"/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  <c r="AT1208" s="29"/>
      <c r="AU1208" s="29"/>
      <c r="AV1208" s="29"/>
      <c r="AW1208" s="29"/>
      <c r="AX1208" s="29"/>
      <c r="AY1208" s="29"/>
      <c r="AZ1208" s="29"/>
      <c r="BA1208" s="29"/>
      <c r="BB1208" s="29"/>
      <c r="BC1208" s="29"/>
      <c r="BD1208" s="29"/>
      <c r="BE1208" s="29"/>
      <c r="BF1208" s="29"/>
      <c r="BG1208" s="29"/>
      <c r="BH1208" s="29"/>
      <c r="BI1208" s="29"/>
      <c r="BJ1208" s="29"/>
      <c r="BK1208" s="29"/>
      <c r="BL1208" s="29"/>
      <c r="BM1208" s="29"/>
      <c r="BN1208" s="29"/>
      <c r="BO1208" s="29"/>
      <c r="BP1208" s="29"/>
      <c r="BQ1208" s="29"/>
      <c r="BR1208" s="29"/>
      <c r="BS1208" s="29"/>
      <c r="BT1208" s="29"/>
      <c r="BU1208" s="29"/>
    </row>
    <row r="1209" spans="34:73" x14ac:dyDescent="0.25"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X1209" s="29"/>
      <c r="AY1209" s="29"/>
      <c r="AZ1209" s="29"/>
      <c r="BA1209" s="29"/>
      <c r="BB1209" s="29"/>
      <c r="BC1209" s="29"/>
      <c r="BD1209" s="29"/>
      <c r="BE1209" s="29"/>
      <c r="BF1209" s="29"/>
      <c r="BG1209" s="29"/>
      <c r="BH1209" s="29"/>
      <c r="BI1209" s="29"/>
      <c r="BJ1209" s="29"/>
      <c r="BK1209" s="29"/>
      <c r="BL1209" s="29"/>
      <c r="BM1209" s="29"/>
      <c r="BN1209" s="29"/>
      <c r="BO1209" s="29"/>
      <c r="BP1209" s="29"/>
      <c r="BQ1209" s="29"/>
      <c r="BR1209" s="29"/>
      <c r="BS1209" s="29"/>
      <c r="BT1209" s="29"/>
      <c r="BU1209" s="29"/>
    </row>
    <row r="1210" spans="34:73" x14ac:dyDescent="0.25">
      <c r="AH1210" s="29"/>
      <c r="AI1210" s="29"/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  <c r="AT1210" s="29"/>
      <c r="AU1210" s="29"/>
      <c r="AV1210" s="29"/>
      <c r="AW1210" s="29"/>
      <c r="AX1210" s="29"/>
      <c r="AY1210" s="29"/>
      <c r="AZ1210" s="29"/>
      <c r="BA1210" s="29"/>
      <c r="BB1210" s="29"/>
      <c r="BC1210" s="29"/>
      <c r="BD1210" s="29"/>
      <c r="BE1210" s="29"/>
      <c r="BF1210" s="29"/>
      <c r="BG1210" s="29"/>
      <c r="BH1210" s="29"/>
      <c r="BI1210" s="29"/>
      <c r="BJ1210" s="29"/>
      <c r="BK1210" s="29"/>
      <c r="BL1210" s="29"/>
      <c r="BM1210" s="29"/>
      <c r="BN1210" s="29"/>
      <c r="BO1210" s="29"/>
      <c r="BP1210" s="29"/>
      <c r="BQ1210" s="29"/>
      <c r="BR1210" s="29"/>
      <c r="BS1210" s="29"/>
      <c r="BT1210" s="29"/>
      <c r="BU1210" s="29"/>
    </row>
    <row r="1211" spans="34:73" x14ac:dyDescent="0.25">
      <c r="AH1211" s="29"/>
      <c r="AI1211" s="29"/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  <c r="AT1211" s="29"/>
      <c r="AU1211" s="29"/>
      <c r="AV1211" s="29"/>
      <c r="AW1211" s="29"/>
      <c r="AX1211" s="29"/>
      <c r="AY1211" s="29"/>
      <c r="AZ1211" s="29"/>
      <c r="BA1211" s="29"/>
      <c r="BB1211" s="29"/>
      <c r="BC1211" s="29"/>
      <c r="BD1211" s="29"/>
      <c r="BE1211" s="29"/>
      <c r="BF1211" s="29"/>
      <c r="BG1211" s="29"/>
      <c r="BH1211" s="29"/>
      <c r="BI1211" s="29"/>
      <c r="BJ1211" s="29"/>
      <c r="BK1211" s="29"/>
      <c r="BL1211" s="29"/>
      <c r="BM1211" s="29"/>
      <c r="BN1211" s="29"/>
      <c r="BO1211" s="29"/>
      <c r="BP1211" s="29"/>
      <c r="BQ1211" s="29"/>
      <c r="BR1211" s="29"/>
      <c r="BS1211" s="29"/>
      <c r="BT1211" s="29"/>
      <c r="BU1211" s="29"/>
    </row>
    <row r="1212" spans="34:73" x14ac:dyDescent="0.25"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  <c r="AY1212" s="29"/>
      <c r="AZ1212" s="29"/>
      <c r="BA1212" s="29"/>
      <c r="BB1212" s="29"/>
      <c r="BC1212" s="29"/>
      <c r="BD1212" s="29"/>
      <c r="BE1212" s="29"/>
      <c r="BF1212" s="29"/>
      <c r="BG1212" s="29"/>
      <c r="BH1212" s="29"/>
      <c r="BI1212" s="29"/>
      <c r="BJ1212" s="29"/>
      <c r="BK1212" s="29"/>
      <c r="BL1212" s="29"/>
      <c r="BM1212" s="29"/>
      <c r="BN1212" s="29"/>
      <c r="BO1212" s="29"/>
      <c r="BP1212" s="29"/>
      <c r="BQ1212" s="29"/>
      <c r="BR1212" s="29"/>
      <c r="BS1212" s="29"/>
      <c r="BT1212" s="29"/>
      <c r="BU1212" s="29"/>
    </row>
    <row r="1213" spans="34:73" x14ac:dyDescent="0.25"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X1213" s="29"/>
      <c r="AY1213" s="29"/>
      <c r="AZ1213" s="29"/>
      <c r="BA1213" s="29"/>
      <c r="BB1213" s="29"/>
      <c r="BC1213" s="29"/>
      <c r="BD1213" s="29"/>
      <c r="BE1213" s="29"/>
      <c r="BF1213" s="29"/>
      <c r="BG1213" s="29"/>
      <c r="BH1213" s="29"/>
      <c r="BI1213" s="29"/>
      <c r="BJ1213" s="29"/>
      <c r="BK1213" s="29"/>
      <c r="BL1213" s="29"/>
      <c r="BM1213" s="29"/>
      <c r="BN1213" s="29"/>
      <c r="BO1213" s="29"/>
      <c r="BP1213" s="29"/>
      <c r="BQ1213" s="29"/>
      <c r="BR1213" s="29"/>
      <c r="BS1213" s="29"/>
      <c r="BT1213" s="29"/>
      <c r="BU1213" s="29"/>
    </row>
    <row r="1214" spans="34:73" x14ac:dyDescent="0.25"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X1214" s="29"/>
      <c r="AY1214" s="29"/>
      <c r="AZ1214" s="29"/>
      <c r="BA1214" s="29"/>
      <c r="BB1214" s="29"/>
      <c r="BC1214" s="29"/>
      <c r="BD1214" s="29"/>
      <c r="BE1214" s="29"/>
      <c r="BF1214" s="29"/>
      <c r="BG1214" s="29"/>
      <c r="BH1214" s="29"/>
      <c r="BI1214" s="29"/>
      <c r="BJ1214" s="29"/>
      <c r="BK1214" s="29"/>
      <c r="BL1214" s="29"/>
      <c r="BM1214" s="29"/>
      <c r="BN1214" s="29"/>
      <c r="BO1214" s="29"/>
      <c r="BP1214" s="29"/>
      <c r="BQ1214" s="29"/>
      <c r="BR1214" s="29"/>
      <c r="BS1214" s="29"/>
      <c r="BT1214" s="29"/>
      <c r="BU1214" s="29"/>
    </row>
    <row r="1215" spans="34:73" x14ac:dyDescent="0.25">
      <c r="AH1215" s="29"/>
      <c r="AI1215" s="29"/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  <c r="AT1215" s="29"/>
      <c r="AU1215" s="29"/>
      <c r="AV1215" s="29"/>
      <c r="AW1215" s="29"/>
      <c r="AX1215" s="29"/>
      <c r="AY1215" s="29"/>
      <c r="AZ1215" s="29"/>
      <c r="BA1215" s="29"/>
      <c r="BB1215" s="29"/>
      <c r="BC1215" s="29"/>
      <c r="BD1215" s="29"/>
      <c r="BE1215" s="29"/>
      <c r="BF1215" s="29"/>
      <c r="BG1215" s="29"/>
      <c r="BH1215" s="29"/>
      <c r="BI1215" s="29"/>
      <c r="BJ1215" s="29"/>
      <c r="BK1215" s="29"/>
      <c r="BL1215" s="29"/>
      <c r="BM1215" s="29"/>
      <c r="BN1215" s="29"/>
      <c r="BO1215" s="29"/>
      <c r="BP1215" s="29"/>
      <c r="BQ1215" s="29"/>
      <c r="BR1215" s="29"/>
      <c r="BS1215" s="29"/>
      <c r="BT1215" s="29"/>
      <c r="BU1215" s="29"/>
    </row>
    <row r="1216" spans="34:73" x14ac:dyDescent="0.25"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X1216" s="29"/>
      <c r="AY1216" s="29"/>
      <c r="AZ1216" s="29"/>
      <c r="BA1216" s="29"/>
      <c r="BB1216" s="29"/>
      <c r="BC1216" s="29"/>
      <c r="BD1216" s="29"/>
      <c r="BE1216" s="29"/>
      <c r="BF1216" s="29"/>
      <c r="BG1216" s="29"/>
      <c r="BH1216" s="29"/>
      <c r="BI1216" s="29"/>
      <c r="BJ1216" s="29"/>
      <c r="BK1216" s="29"/>
      <c r="BL1216" s="29"/>
      <c r="BM1216" s="29"/>
      <c r="BN1216" s="29"/>
      <c r="BO1216" s="29"/>
      <c r="BP1216" s="29"/>
      <c r="BQ1216" s="29"/>
      <c r="BR1216" s="29"/>
      <c r="BS1216" s="29"/>
      <c r="BT1216" s="29"/>
      <c r="BU1216" s="29"/>
    </row>
    <row r="1217" spans="34:73" x14ac:dyDescent="0.25"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  <c r="AT1217" s="29"/>
      <c r="AU1217" s="29"/>
      <c r="AV1217" s="29"/>
      <c r="AW1217" s="29"/>
      <c r="AX1217" s="29"/>
      <c r="AY1217" s="29"/>
      <c r="AZ1217" s="29"/>
      <c r="BA1217" s="29"/>
      <c r="BB1217" s="29"/>
      <c r="BC1217" s="29"/>
      <c r="BD1217" s="29"/>
      <c r="BE1217" s="29"/>
      <c r="BF1217" s="29"/>
      <c r="BG1217" s="29"/>
      <c r="BH1217" s="29"/>
      <c r="BI1217" s="29"/>
      <c r="BJ1217" s="29"/>
      <c r="BK1217" s="29"/>
      <c r="BL1217" s="29"/>
      <c r="BM1217" s="29"/>
      <c r="BN1217" s="29"/>
      <c r="BO1217" s="29"/>
      <c r="BP1217" s="29"/>
      <c r="BQ1217" s="29"/>
      <c r="BR1217" s="29"/>
      <c r="BS1217" s="29"/>
      <c r="BT1217" s="29"/>
      <c r="BU1217" s="29"/>
    </row>
    <row r="1218" spans="34:73" x14ac:dyDescent="0.25"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  <c r="AT1218" s="29"/>
      <c r="AU1218" s="29"/>
      <c r="AV1218" s="29"/>
      <c r="AW1218" s="29"/>
      <c r="AX1218" s="29"/>
      <c r="AY1218" s="29"/>
      <c r="AZ1218" s="29"/>
      <c r="BA1218" s="29"/>
      <c r="BB1218" s="29"/>
      <c r="BC1218" s="29"/>
      <c r="BD1218" s="29"/>
      <c r="BE1218" s="29"/>
      <c r="BF1218" s="29"/>
      <c r="BG1218" s="29"/>
      <c r="BH1218" s="29"/>
      <c r="BI1218" s="29"/>
      <c r="BJ1218" s="29"/>
      <c r="BK1218" s="29"/>
      <c r="BL1218" s="29"/>
      <c r="BM1218" s="29"/>
      <c r="BN1218" s="29"/>
      <c r="BO1218" s="29"/>
      <c r="BP1218" s="29"/>
      <c r="BQ1218" s="29"/>
      <c r="BR1218" s="29"/>
      <c r="BS1218" s="29"/>
      <c r="BT1218" s="29"/>
      <c r="BU1218" s="29"/>
    </row>
    <row r="1219" spans="34:73" x14ac:dyDescent="0.25">
      <c r="AH1219" s="29"/>
      <c r="AI1219" s="29"/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  <c r="AT1219" s="29"/>
      <c r="AU1219" s="29"/>
      <c r="AV1219" s="29"/>
      <c r="AW1219" s="29"/>
      <c r="AX1219" s="29"/>
      <c r="AY1219" s="29"/>
      <c r="AZ1219" s="29"/>
      <c r="BA1219" s="29"/>
      <c r="BB1219" s="29"/>
      <c r="BC1219" s="29"/>
      <c r="BD1219" s="29"/>
      <c r="BE1219" s="29"/>
      <c r="BF1219" s="29"/>
      <c r="BG1219" s="29"/>
      <c r="BH1219" s="29"/>
      <c r="BI1219" s="29"/>
      <c r="BJ1219" s="29"/>
      <c r="BK1219" s="29"/>
      <c r="BL1219" s="29"/>
      <c r="BM1219" s="29"/>
      <c r="BN1219" s="29"/>
      <c r="BO1219" s="29"/>
      <c r="BP1219" s="29"/>
      <c r="BQ1219" s="29"/>
      <c r="BR1219" s="29"/>
      <c r="BS1219" s="29"/>
      <c r="BT1219" s="29"/>
      <c r="BU1219" s="29"/>
    </row>
    <row r="1220" spans="34:73" x14ac:dyDescent="0.25"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  <c r="AT1220" s="29"/>
      <c r="AU1220" s="29"/>
      <c r="AV1220" s="29"/>
      <c r="AW1220" s="29"/>
      <c r="AX1220" s="29"/>
      <c r="AY1220" s="29"/>
      <c r="AZ1220" s="29"/>
      <c r="BA1220" s="29"/>
      <c r="BB1220" s="29"/>
      <c r="BC1220" s="29"/>
      <c r="BD1220" s="29"/>
      <c r="BE1220" s="29"/>
      <c r="BF1220" s="29"/>
      <c r="BG1220" s="29"/>
      <c r="BH1220" s="29"/>
      <c r="BI1220" s="29"/>
      <c r="BJ1220" s="29"/>
      <c r="BK1220" s="29"/>
      <c r="BL1220" s="29"/>
      <c r="BM1220" s="29"/>
      <c r="BN1220" s="29"/>
      <c r="BO1220" s="29"/>
      <c r="BP1220" s="29"/>
      <c r="BQ1220" s="29"/>
      <c r="BR1220" s="29"/>
      <c r="BS1220" s="29"/>
      <c r="BT1220" s="29"/>
      <c r="BU1220" s="29"/>
    </row>
    <row r="1221" spans="34:73" x14ac:dyDescent="0.25">
      <c r="AH1221" s="29"/>
      <c r="AI1221" s="29"/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  <c r="AT1221" s="29"/>
      <c r="AU1221" s="29"/>
      <c r="AV1221" s="29"/>
      <c r="AW1221" s="29"/>
      <c r="AX1221" s="29"/>
      <c r="AY1221" s="29"/>
      <c r="AZ1221" s="29"/>
      <c r="BA1221" s="29"/>
      <c r="BB1221" s="29"/>
      <c r="BC1221" s="29"/>
      <c r="BD1221" s="29"/>
      <c r="BE1221" s="29"/>
      <c r="BF1221" s="29"/>
      <c r="BG1221" s="29"/>
      <c r="BH1221" s="29"/>
      <c r="BI1221" s="29"/>
      <c r="BJ1221" s="29"/>
      <c r="BK1221" s="29"/>
      <c r="BL1221" s="29"/>
      <c r="BM1221" s="29"/>
      <c r="BN1221" s="29"/>
      <c r="BO1221" s="29"/>
      <c r="BP1221" s="29"/>
      <c r="BQ1221" s="29"/>
      <c r="BR1221" s="29"/>
      <c r="BS1221" s="29"/>
      <c r="BT1221" s="29"/>
      <c r="BU1221" s="29"/>
    </row>
    <row r="1222" spans="34:73" x14ac:dyDescent="0.25">
      <c r="AH1222" s="29"/>
      <c r="AI1222" s="29"/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  <c r="AT1222" s="29"/>
      <c r="AU1222" s="29"/>
      <c r="AV1222" s="29"/>
      <c r="AW1222" s="29"/>
      <c r="AX1222" s="29"/>
      <c r="AY1222" s="29"/>
      <c r="AZ1222" s="29"/>
      <c r="BA1222" s="29"/>
      <c r="BB1222" s="29"/>
      <c r="BC1222" s="29"/>
      <c r="BD1222" s="29"/>
      <c r="BE1222" s="29"/>
      <c r="BF1222" s="29"/>
      <c r="BG1222" s="29"/>
      <c r="BH1222" s="29"/>
      <c r="BI1222" s="29"/>
      <c r="BJ1222" s="29"/>
      <c r="BK1222" s="29"/>
      <c r="BL1222" s="29"/>
      <c r="BM1222" s="29"/>
      <c r="BN1222" s="29"/>
      <c r="BO1222" s="29"/>
      <c r="BP1222" s="29"/>
      <c r="BQ1222" s="29"/>
      <c r="BR1222" s="29"/>
      <c r="BS1222" s="29"/>
      <c r="BT1222" s="29"/>
      <c r="BU1222" s="29"/>
    </row>
    <row r="1223" spans="34:73" x14ac:dyDescent="0.25">
      <c r="AH1223" s="29"/>
      <c r="AI1223" s="29"/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  <c r="AT1223" s="29"/>
      <c r="AU1223" s="29"/>
      <c r="AV1223" s="29"/>
      <c r="AW1223" s="29"/>
      <c r="AX1223" s="29"/>
      <c r="AY1223" s="29"/>
      <c r="AZ1223" s="29"/>
      <c r="BA1223" s="29"/>
      <c r="BB1223" s="29"/>
      <c r="BC1223" s="29"/>
      <c r="BD1223" s="29"/>
      <c r="BE1223" s="29"/>
      <c r="BF1223" s="29"/>
      <c r="BG1223" s="29"/>
      <c r="BH1223" s="29"/>
      <c r="BI1223" s="29"/>
      <c r="BJ1223" s="29"/>
      <c r="BK1223" s="29"/>
      <c r="BL1223" s="29"/>
      <c r="BM1223" s="29"/>
      <c r="BN1223" s="29"/>
      <c r="BO1223" s="29"/>
      <c r="BP1223" s="29"/>
      <c r="BQ1223" s="29"/>
      <c r="BR1223" s="29"/>
      <c r="BS1223" s="29"/>
      <c r="BT1223" s="29"/>
      <c r="BU1223" s="29"/>
    </row>
    <row r="1224" spans="34:73" x14ac:dyDescent="0.25">
      <c r="AH1224" s="29"/>
      <c r="AI1224" s="29"/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  <c r="AT1224" s="29"/>
      <c r="AU1224" s="29"/>
      <c r="AV1224" s="29"/>
      <c r="AW1224" s="29"/>
      <c r="AX1224" s="29"/>
      <c r="AY1224" s="29"/>
      <c r="AZ1224" s="29"/>
      <c r="BA1224" s="29"/>
      <c r="BB1224" s="29"/>
      <c r="BC1224" s="29"/>
      <c r="BD1224" s="29"/>
      <c r="BE1224" s="29"/>
      <c r="BF1224" s="29"/>
      <c r="BG1224" s="29"/>
      <c r="BH1224" s="29"/>
      <c r="BI1224" s="29"/>
      <c r="BJ1224" s="29"/>
      <c r="BK1224" s="29"/>
      <c r="BL1224" s="29"/>
      <c r="BM1224" s="29"/>
      <c r="BN1224" s="29"/>
      <c r="BO1224" s="29"/>
      <c r="BP1224" s="29"/>
      <c r="BQ1224" s="29"/>
      <c r="BR1224" s="29"/>
      <c r="BS1224" s="29"/>
      <c r="BT1224" s="29"/>
      <c r="BU1224" s="29"/>
    </row>
    <row r="1225" spans="34:73" x14ac:dyDescent="0.25">
      <c r="AH1225" s="29"/>
      <c r="AI1225" s="29"/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  <c r="AT1225" s="29"/>
      <c r="AU1225" s="29"/>
      <c r="AV1225" s="29"/>
      <c r="AW1225" s="29"/>
      <c r="AX1225" s="29"/>
      <c r="AY1225" s="29"/>
      <c r="AZ1225" s="29"/>
      <c r="BA1225" s="29"/>
      <c r="BB1225" s="29"/>
      <c r="BC1225" s="29"/>
      <c r="BD1225" s="29"/>
      <c r="BE1225" s="29"/>
      <c r="BF1225" s="29"/>
      <c r="BG1225" s="29"/>
      <c r="BH1225" s="29"/>
      <c r="BI1225" s="29"/>
      <c r="BJ1225" s="29"/>
      <c r="BK1225" s="29"/>
      <c r="BL1225" s="29"/>
      <c r="BM1225" s="29"/>
      <c r="BN1225" s="29"/>
      <c r="BO1225" s="29"/>
      <c r="BP1225" s="29"/>
      <c r="BQ1225" s="29"/>
      <c r="BR1225" s="29"/>
      <c r="BS1225" s="29"/>
      <c r="BT1225" s="29"/>
      <c r="BU1225" s="29"/>
    </row>
    <row r="1226" spans="34:73" x14ac:dyDescent="0.25"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  <c r="AY1226" s="29"/>
      <c r="AZ1226" s="29"/>
      <c r="BA1226" s="29"/>
      <c r="BB1226" s="29"/>
      <c r="BC1226" s="29"/>
      <c r="BD1226" s="29"/>
      <c r="BE1226" s="29"/>
      <c r="BF1226" s="29"/>
      <c r="BG1226" s="29"/>
      <c r="BH1226" s="29"/>
      <c r="BI1226" s="29"/>
      <c r="BJ1226" s="29"/>
      <c r="BK1226" s="29"/>
      <c r="BL1226" s="29"/>
      <c r="BM1226" s="29"/>
      <c r="BN1226" s="29"/>
      <c r="BO1226" s="29"/>
      <c r="BP1226" s="29"/>
      <c r="BQ1226" s="29"/>
      <c r="BR1226" s="29"/>
      <c r="BS1226" s="29"/>
      <c r="BT1226" s="29"/>
      <c r="BU1226" s="29"/>
    </row>
    <row r="1227" spans="34:73" x14ac:dyDescent="0.25">
      <c r="AH1227" s="29"/>
      <c r="AI1227" s="29"/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  <c r="AT1227" s="29"/>
      <c r="AU1227" s="29"/>
      <c r="AV1227" s="29"/>
      <c r="AW1227" s="29"/>
      <c r="AX1227" s="29"/>
      <c r="AY1227" s="29"/>
      <c r="AZ1227" s="29"/>
      <c r="BA1227" s="29"/>
      <c r="BB1227" s="29"/>
      <c r="BC1227" s="29"/>
      <c r="BD1227" s="29"/>
      <c r="BE1227" s="29"/>
      <c r="BF1227" s="29"/>
      <c r="BG1227" s="29"/>
      <c r="BH1227" s="29"/>
      <c r="BI1227" s="29"/>
      <c r="BJ1227" s="29"/>
      <c r="BK1227" s="29"/>
      <c r="BL1227" s="29"/>
      <c r="BM1227" s="29"/>
      <c r="BN1227" s="29"/>
      <c r="BO1227" s="29"/>
      <c r="BP1227" s="29"/>
      <c r="BQ1227" s="29"/>
      <c r="BR1227" s="29"/>
      <c r="BS1227" s="29"/>
      <c r="BT1227" s="29"/>
      <c r="BU1227" s="29"/>
    </row>
    <row r="1228" spans="34:73" x14ac:dyDescent="0.25"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X1228" s="29"/>
      <c r="AY1228" s="29"/>
      <c r="AZ1228" s="29"/>
      <c r="BA1228" s="29"/>
      <c r="BB1228" s="29"/>
      <c r="BC1228" s="29"/>
      <c r="BD1228" s="29"/>
      <c r="BE1228" s="29"/>
      <c r="BF1228" s="29"/>
      <c r="BG1228" s="29"/>
      <c r="BH1228" s="29"/>
      <c r="BI1228" s="29"/>
      <c r="BJ1228" s="29"/>
      <c r="BK1228" s="29"/>
      <c r="BL1228" s="29"/>
      <c r="BM1228" s="29"/>
      <c r="BN1228" s="29"/>
      <c r="BO1228" s="29"/>
      <c r="BP1228" s="29"/>
      <c r="BQ1228" s="29"/>
      <c r="BR1228" s="29"/>
      <c r="BS1228" s="29"/>
      <c r="BT1228" s="29"/>
      <c r="BU1228" s="29"/>
    </row>
    <row r="1229" spans="34:73" x14ac:dyDescent="0.25">
      <c r="AH1229" s="29"/>
      <c r="AI1229" s="29"/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  <c r="AT1229" s="29"/>
      <c r="AU1229" s="29"/>
      <c r="AV1229" s="29"/>
      <c r="AW1229" s="29"/>
      <c r="AX1229" s="29"/>
      <c r="AY1229" s="29"/>
      <c r="AZ1229" s="29"/>
      <c r="BA1229" s="29"/>
      <c r="BB1229" s="29"/>
      <c r="BC1229" s="29"/>
      <c r="BD1229" s="29"/>
      <c r="BE1229" s="29"/>
      <c r="BF1229" s="29"/>
      <c r="BG1229" s="29"/>
      <c r="BH1229" s="29"/>
      <c r="BI1229" s="29"/>
      <c r="BJ1229" s="29"/>
      <c r="BK1229" s="29"/>
      <c r="BL1229" s="29"/>
      <c r="BM1229" s="29"/>
      <c r="BN1229" s="29"/>
      <c r="BO1229" s="29"/>
      <c r="BP1229" s="29"/>
      <c r="BQ1229" s="29"/>
      <c r="BR1229" s="29"/>
      <c r="BS1229" s="29"/>
      <c r="BT1229" s="29"/>
      <c r="BU1229" s="29"/>
    </row>
    <row r="1230" spans="34:73" x14ac:dyDescent="0.25">
      <c r="AH1230" s="29"/>
      <c r="AI1230" s="29"/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  <c r="AT1230" s="29"/>
      <c r="AU1230" s="29"/>
      <c r="AV1230" s="29"/>
      <c r="AW1230" s="29"/>
      <c r="AX1230" s="29"/>
      <c r="AY1230" s="29"/>
      <c r="AZ1230" s="29"/>
      <c r="BA1230" s="29"/>
      <c r="BB1230" s="29"/>
      <c r="BC1230" s="29"/>
      <c r="BD1230" s="29"/>
      <c r="BE1230" s="29"/>
      <c r="BF1230" s="29"/>
      <c r="BG1230" s="29"/>
      <c r="BH1230" s="29"/>
      <c r="BI1230" s="29"/>
      <c r="BJ1230" s="29"/>
      <c r="BK1230" s="29"/>
      <c r="BL1230" s="29"/>
      <c r="BM1230" s="29"/>
      <c r="BN1230" s="29"/>
      <c r="BO1230" s="29"/>
      <c r="BP1230" s="29"/>
      <c r="BQ1230" s="29"/>
      <c r="BR1230" s="29"/>
      <c r="BS1230" s="29"/>
      <c r="BT1230" s="29"/>
      <c r="BU1230" s="29"/>
    </row>
    <row r="1231" spans="34:73" x14ac:dyDescent="0.25"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  <c r="AY1231" s="29"/>
      <c r="AZ1231" s="29"/>
      <c r="BA1231" s="29"/>
      <c r="BB1231" s="29"/>
      <c r="BC1231" s="29"/>
      <c r="BD1231" s="29"/>
      <c r="BE1231" s="29"/>
      <c r="BF1231" s="29"/>
      <c r="BG1231" s="29"/>
      <c r="BH1231" s="29"/>
      <c r="BI1231" s="29"/>
      <c r="BJ1231" s="29"/>
      <c r="BK1231" s="29"/>
      <c r="BL1231" s="29"/>
      <c r="BM1231" s="29"/>
      <c r="BN1231" s="29"/>
      <c r="BO1231" s="29"/>
      <c r="BP1231" s="29"/>
      <c r="BQ1231" s="29"/>
      <c r="BR1231" s="29"/>
      <c r="BS1231" s="29"/>
      <c r="BT1231" s="29"/>
      <c r="BU1231" s="29"/>
    </row>
    <row r="1232" spans="34:73" x14ac:dyDescent="0.25">
      <c r="AH1232" s="29"/>
      <c r="AI1232" s="29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X1232" s="29"/>
      <c r="AY1232" s="29"/>
      <c r="AZ1232" s="29"/>
      <c r="BA1232" s="29"/>
      <c r="BB1232" s="29"/>
      <c r="BC1232" s="29"/>
      <c r="BD1232" s="29"/>
      <c r="BE1232" s="29"/>
      <c r="BF1232" s="29"/>
      <c r="BG1232" s="29"/>
      <c r="BH1232" s="29"/>
      <c r="BI1232" s="29"/>
      <c r="BJ1232" s="29"/>
      <c r="BK1232" s="29"/>
      <c r="BL1232" s="29"/>
      <c r="BM1232" s="29"/>
      <c r="BN1232" s="29"/>
      <c r="BO1232" s="29"/>
      <c r="BP1232" s="29"/>
      <c r="BQ1232" s="29"/>
      <c r="BR1232" s="29"/>
      <c r="BS1232" s="29"/>
      <c r="BT1232" s="29"/>
      <c r="BU1232" s="29"/>
    </row>
    <row r="1233" spans="34:73" x14ac:dyDescent="0.25"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X1233" s="29"/>
      <c r="AY1233" s="29"/>
      <c r="AZ1233" s="29"/>
      <c r="BA1233" s="29"/>
      <c r="BB1233" s="29"/>
      <c r="BC1233" s="29"/>
      <c r="BD1233" s="29"/>
      <c r="BE1233" s="29"/>
      <c r="BF1233" s="29"/>
      <c r="BG1233" s="29"/>
      <c r="BH1233" s="29"/>
      <c r="BI1233" s="29"/>
      <c r="BJ1233" s="29"/>
      <c r="BK1233" s="29"/>
      <c r="BL1233" s="29"/>
      <c r="BM1233" s="29"/>
      <c r="BN1233" s="29"/>
      <c r="BO1233" s="29"/>
      <c r="BP1233" s="29"/>
      <c r="BQ1233" s="29"/>
      <c r="BR1233" s="29"/>
      <c r="BS1233" s="29"/>
      <c r="BT1233" s="29"/>
      <c r="BU1233" s="29"/>
    </row>
    <row r="1234" spans="34:73" x14ac:dyDescent="0.25"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X1234" s="29"/>
      <c r="AY1234" s="29"/>
      <c r="AZ1234" s="29"/>
      <c r="BA1234" s="29"/>
      <c r="BB1234" s="29"/>
      <c r="BC1234" s="29"/>
      <c r="BD1234" s="29"/>
      <c r="BE1234" s="29"/>
      <c r="BF1234" s="29"/>
      <c r="BG1234" s="29"/>
      <c r="BH1234" s="29"/>
      <c r="BI1234" s="29"/>
      <c r="BJ1234" s="29"/>
      <c r="BK1234" s="29"/>
      <c r="BL1234" s="29"/>
      <c r="BM1234" s="29"/>
      <c r="BN1234" s="29"/>
      <c r="BO1234" s="29"/>
      <c r="BP1234" s="29"/>
      <c r="BQ1234" s="29"/>
      <c r="BR1234" s="29"/>
      <c r="BS1234" s="29"/>
      <c r="BT1234" s="29"/>
      <c r="BU1234" s="29"/>
    </row>
    <row r="1235" spans="34:73" x14ac:dyDescent="0.25">
      <c r="AH1235" s="29"/>
      <c r="AI1235" s="29"/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  <c r="AT1235" s="29"/>
      <c r="AU1235" s="29"/>
      <c r="AV1235" s="29"/>
      <c r="AW1235" s="29"/>
      <c r="AX1235" s="29"/>
      <c r="AY1235" s="29"/>
      <c r="AZ1235" s="29"/>
      <c r="BA1235" s="29"/>
      <c r="BB1235" s="29"/>
      <c r="BC1235" s="29"/>
      <c r="BD1235" s="29"/>
      <c r="BE1235" s="29"/>
      <c r="BF1235" s="29"/>
      <c r="BG1235" s="29"/>
      <c r="BH1235" s="29"/>
      <c r="BI1235" s="29"/>
      <c r="BJ1235" s="29"/>
      <c r="BK1235" s="29"/>
      <c r="BL1235" s="29"/>
      <c r="BM1235" s="29"/>
      <c r="BN1235" s="29"/>
      <c r="BO1235" s="29"/>
      <c r="BP1235" s="29"/>
      <c r="BQ1235" s="29"/>
      <c r="BR1235" s="29"/>
      <c r="BS1235" s="29"/>
      <c r="BT1235" s="29"/>
      <c r="BU1235" s="29"/>
    </row>
    <row r="1236" spans="34:73" x14ac:dyDescent="0.25"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X1236" s="29"/>
      <c r="AY1236" s="29"/>
      <c r="AZ1236" s="29"/>
      <c r="BA1236" s="29"/>
      <c r="BB1236" s="29"/>
      <c r="BC1236" s="29"/>
      <c r="BD1236" s="29"/>
      <c r="BE1236" s="29"/>
      <c r="BF1236" s="29"/>
      <c r="BG1236" s="29"/>
      <c r="BH1236" s="29"/>
      <c r="BI1236" s="29"/>
      <c r="BJ1236" s="29"/>
      <c r="BK1236" s="29"/>
      <c r="BL1236" s="29"/>
      <c r="BM1236" s="29"/>
      <c r="BN1236" s="29"/>
      <c r="BO1236" s="29"/>
      <c r="BP1236" s="29"/>
      <c r="BQ1236" s="29"/>
      <c r="BR1236" s="29"/>
      <c r="BS1236" s="29"/>
      <c r="BT1236" s="29"/>
      <c r="BU1236" s="29"/>
    </row>
    <row r="1237" spans="34:73" x14ac:dyDescent="0.25"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X1237" s="29"/>
      <c r="AY1237" s="29"/>
      <c r="AZ1237" s="29"/>
      <c r="BA1237" s="29"/>
      <c r="BB1237" s="29"/>
      <c r="BC1237" s="29"/>
      <c r="BD1237" s="29"/>
      <c r="BE1237" s="29"/>
      <c r="BF1237" s="29"/>
      <c r="BG1237" s="29"/>
      <c r="BH1237" s="29"/>
      <c r="BI1237" s="29"/>
      <c r="BJ1237" s="29"/>
      <c r="BK1237" s="29"/>
      <c r="BL1237" s="29"/>
      <c r="BM1237" s="29"/>
      <c r="BN1237" s="29"/>
      <c r="BO1237" s="29"/>
      <c r="BP1237" s="29"/>
      <c r="BQ1237" s="29"/>
      <c r="BR1237" s="29"/>
      <c r="BS1237" s="29"/>
      <c r="BT1237" s="29"/>
      <c r="BU1237" s="29"/>
    </row>
    <row r="1238" spans="34:73" x14ac:dyDescent="0.25"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  <c r="AY1238" s="29"/>
      <c r="AZ1238" s="29"/>
      <c r="BA1238" s="29"/>
      <c r="BB1238" s="29"/>
      <c r="BC1238" s="29"/>
      <c r="BD1238" s="29"/>
      <c r="BE1238" s="29"/>
      <c r="BF1238" s="29"/>
      <c r="BG1238" s="29"/>
      <c r="BH1238" s="29"/>
      <c r="BI1238" s="29"/>
      <c r="BJ1238" s="29"/>
      <c r="BK1238" s="29"/>
      <c r="BL1238" s="29"/>
      <c r="BM1238" s="29"/>
      <c r="BN1238" s="29"/>
      <c r="BO1238" s="29"/>
      <c r="BP1238" s="29"/>
      <c r="BQ1238" s="29"/>
      <c r="BR1238" s="29"/>
      <c r="BS1238" s="29"/>
      <c r="BT1238" s="29"/>
      <c r="BU1238" s="29"/>
    </row>
    <row r="1239" spans="34:73" x14ac:dyDescent="0.25"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  <c r="AY1239" s="29"/>
      <c r="AZ1239" s="29"/>
      <c r="BA1239" s="29"/>
      <c r="BB1239" s="29"/>
      <c r="BC1239" s="29"/>
      <c r="BD1239" s="29"/>
      <c r="BE1239" s="29"/>
      <c r="BF1239" s="29"/>
      <c r="BG1239" s="29"/>
      <c r="BH1239" s="29"/>
      <c r="BI1239" s="29"/>
      <c r="BJ1239" s="29"/>
      <c r="BK1239" s="29"/>
      <c r="BL1239" s="29"/>
      <c r="BM1239" s="29"/>
      <c r="BN1239" s="29"/>
      <c r="BO1239" s="29"/>
      <c r="BP1239" s="29"/>
      <c r="BQ1239" s="29"/>
      <c r="BR1239" s="29"/>
      <c r="BS1239" s="29"/>
      <c r="BT1239" s="29"/>
      <c r="BU1239" s="29"/>
    </row>
    <row r="1240" spans="34:73" x14ac:dyDescent="0.25"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X1240" s="29"/>
      <c r="AY1240" s="29"/>
      <c r="AZ1240" s="29"/>
      <c r="BA1240" s="29"/>
      <c r="BB1240" s="29"/>
      <c r="BC1240" s="29"/>
      <c r="BD1240" s="29"/>
      <c r="BE1240" s="29"/>
      <c r="BF1240" s="29"/>
      <c r="BG1240" s="29"/>
      <c r="BH1240" s="29"/>
      <c r="BI1240" s="29"/>
      <c r="BJ1240" s="29"/>
      <c r="BK1240" s="29"/>
      <c r="BL1240" s="29"/>
      <c r="BM1240" s="29"/>
      <c r="BN1240" s="29"/>
      <c r="BO1240" s="29"/>
      <c r="BP1240" s="29"/>
      <c r="BQ1240" s="29"/>
      <c r="BR1240" s="29"/>
      <c r="BS1240" s="29"/>
      <c r="BT1240" s="29"/>
      <c r="BU1240" s="29"/>
    </row>
    <row r="1241" spans="34:73" x14ac:dyDescent="0.25"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  <c r="AY1241" s="29"/>
      <c r="AZ1241" s="29"/>
      <c r="BA1241" s="29"/>
      <c r="BB1241" s="29"/>
      <c r="BC1241" s="29"/>
      <c r="BD1241" s="29"/>
      <c r="BE1241" s="29"/>
      <c r="BF1241" s="29"/>
      <c r="BG1241" s="29"/>
      <c r="BH1241" s="29"/>
      <c r="BI1241" s="29"/>
      <c r="BJ1241" s="29"/>
      <c r="BK1241" s="29"/>
      <c r="BL1241" s="29"/>
      <c r="BM1241" s="29"/>
      <c r="BN1241" s="29"/>
      <c r="BO1241" s="29"/>
      <c r="BP1241" s="29"/>
      <c r="BQ1241" s="29"/>
      <c r="BR1241" s="29"/>
      <c r="BS1241" s="29"/>
      <c r="BT1241" s="29"/>
      <c r="BU1241" s="29"/>
    </row>
    <row r="1242" spans="34:73" x14ac:dyDescent="0.25"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X1242" s="29"/>
      <c r="AY1242" s="29"/>
      <c r="AZ1242" s="29"/>
      <c r="BA1242" s="29"/>
      <c r="BB1242" s="29"/>
      <c r="BC1242" s="29"/>
      <c r="BD1242" s="29"/>
      <c r="BE1242" s="29"/>
      <c r="BF1242" s="29"/>
      <c r="BG1242" s="29"/>
      <c r="BH1242" s="29"/>
      <c r="BI1242" s="29"/>
      <c r="BJ1242" s="29"/>
      <c r="BK1242" s="29"/>
      <c r="BL1242" s="29"/>
      <c r="BM1242" s="29"/>
      <c r="BN1242" s="29"/>
      <c r="BO1242" s="29"/>
      <c r="BP1242" s="29"/>
      <c r="BQ1242" s="29"/>
      <c r="BR1242" s="29"/>
      <c r="BS1242" s="29"/>
      <c r="BT1242" s="29"/>
      <c r="BU1242" s="29"/>
    </row>
    <row r="1243" spans="34:73" x14ac:dyDescent="0.25"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X1243" s="29"/>
      <c r="AY1243" s="29"/>
      <c r="AZ1243" s="29"/>
      <c r="BA1243" s="29"/>
      <c r="BB1243" s="29"/>
      <c r="BC1243" s="29"/>
      <c r="BD1243" s="29"/>
      <c r="BE1243" s="29"/>
      <c r="BF1243" s="29"/>
      <c r="BG1243" s="29"/>
      <c r="BH1243" s="29"/>
      <c r="BI1243" s="29"/>
      <c r="BJ1243" s="29"/>
      <c r="BK1243" s="29"/>
      <c r="BL1243" s="29"/>
      <c r="BM1243" s="29"/>
      <c r="BN1243" s="29"/>
      <c r="BO1243" s="29"/>
      <c r="BP1243" s="29"/>
      <c r="BQ1243" s="29"/>
      <c r="BR1243" s="29"/>
      <c r="BS1243" s="29"/>
      <c r="BT1243" s="29"/>
      <c r="BU1243" s="29"/>
    </row>
    <row r="1244" spans="34:73" x14ac:dyDescent="0.25">
      <c r="AH1244" s="29"/>
      <c r="AI1244" s="29"/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  <c r="AT1244" s="29"/>
      <c r="AU1244" s="29"/>
      <c r="AV1244" s="29"/>
      <c r="AW1244" s="29"/>
      <c r="AX1244" s="29"/>
      <c r="AY1244" s="29"/>
      <c r="AZ1244" s="29"/>
      <c r="BA1244" s="29"/>
      <c r="BB1244" s="29"/>
      <c r="BC1244" s="29"/>
      <c r="BD1244" s="29"/>
      <c r="BE1244" s="29"/>
      <c r="BF1244" s="29"/>
      <c r="BG1244" s="29"/>
      <c r="BH1244" s="29"/>
      <c r="BI1244" s="29"/>
      <c r="BJ1244" s="29"/>
      <c r="BK1244" s="29"/>
      <c r="BL1244" s="29"/>
      <c r="BM1244" s="29"/>
      <c r="BN1244" s="29"/>
      <c r="BO1244" s="29"/>
      <c r="BP1244" s="29"/>
      <c r="BQ1244" s="29"/>
      <c r="BR1244" s="29"/>
      <c r="BS1244" s="29"/>
      <c r="BT1244" s="29"/>
      <c r="BU1244" s="29"/>
    </row>
    <row r="1245" spans="34:73" x14ac:dyDescent="0.25">
      <c r="AH1245" s="29"/>
      <c r="AI1245" s="29"/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  <c r="AT1245" s="29"/>
      <c r="AU1245" s="29"/>
      <c r="AV1245" s="29"/>
      <c r="AW1245" s="29"/>
      <c r="AX1245" s="29"/>
      <c r="AY1245" s="29"/>
      <c r="AZ1245" s="29"/>
      <c r="BA1245" s="29"/>
      <c r="BB1245" s="29"/>
      <c r="BC1245" s="29"/>
      <c r="BD1245" s="29"/>
      <c r="BE1245" s="29"/>
      <c r="BF1245" s="29"/>
      <c r="BG1245" s="29"/>
      <c r="BH1245" s="29"/>
      <c r="BI1245" s="29"/>
      <c r="BJ1245" s="29"/>
      <c r="BK1245" s="29"/>
      <c r="BL1245" s="29"/>
      <c r="BM1245" s="29"/>
      <c r="BN1245" s="29"/>
      <c r="BO1245" s="29"/>
      <c r="BP1245" s="29"/>
      <c r="BQ1245" s="29"/>
      <c r="BR1245" s="29"/>
      <c r="BS1245" s="29"/>
      <c r="BT1245" s="29"/>
      <c r="BU1245" s="29"/>
    </row>
    <row r="1246" spans="34:73" x14ac:dyDescent="0.25"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  <c r="AY1246" s="29"/>
      <c r="AZ1246" s="29"/>
      <c r="BA1246" s="29"/>
      <c r="BB1246" s="29"/>
      <c r="BC1246" s="29"/>
      <c r="BD1246" s="29"/>
      <c r="BE1246" s="29"/>
      <c r="BF1246" s="29"/>
      <c r="BG1246" s="29"/>
      <c r="BH1246" s="29"/>
      <c r="BI1246" s="29"/>
      <c r="BJ1246" s="29"/>
      <c r="BK1246" s="29"/>
      <c r="BL1246" s="29"/>
      <c r="BM1246" s="29"/>
      <c r="BN1246" s="29"/>
      <c r="BO1246" s="29"/>
      <c r="BP1246" s="29"/>
      <c r="BQ1246" s="29"/>
      <c r="BR1246" s="29"/>
      <c r="BS1246" s="29"/>
      <c r="BT1246" s="29"/>
      <c r="BU1246" s="29"/>
    </row>
    <row r="1247" spans="34:73" x14ac:dyDescent="0.25"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29"/>
      <c r="AY1247" s="29"/>
      <c r="AZ1247" s="29"/>
      <c r="BA1247" s="29"/>
      <c r="BB1247" s="29"/>
      <c r="BC1247" s="29"/>
      <c r="BD1247" s="29"/>
      <c r="BE1247" s="29"/>
      <c r="BF1247" s="29"/>
      <c r="BG1247" s="29"/>
      <c r="BH1247" s="29"/>
      <c r="BI1247" s="29"/>
      <c r="BJ1247" s="29"/>
      <c r="BK1247" s="29"/>
      <c r="BL1247" s="29"/>
      <c r="BM1247" s="29"/>
      <c r="BN1247" s="29"/>
      <c r="BO1247" s="29"/>
      <c r="BP1247" s="29"/>
      <c r="BQ1247" s="29"/>
      <c r="BR1247" s="29"/>
      <c r="BS1247" s="29"/>
      <c r="BT1247" s="29"/>
      <c r="BU1247" s="29"/>
    </row>
    <row r="1248" spans="34:73" x14ac:dyDescent="0.25"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  <c r="AY1248" s="29"/>
      <c r="AZ1248" s="29"/>
      <c r="BA1248" s="29"/>
      <c r="BB1248" s="29"/>
      <c r="BC1248" s="29"/>
      <c r="BD1248" s="29"/>
      <c r="BE1248" s="29"/>
      <c r="BF1248" s="29"/>
      <c r="BG1248" s="29"/>
      <c r="BH1248" s="29"/>
      <c r="BI1248" s="29"/>
      <c r="BJ1248" s="29"/>
      <c r="BK1248" s="29"/>
      <c r="BL1248" s="29"/>
      <c r="BM1248" s="29"/>
      <c r="BN1248" s="29"/>
      <c r="BO1248" s="29"/>
      <c r="BP1248" s="29"/>
      <c r="BQ1248" s="29"/>
      <c r="BR1248" s="29"/>
      <c r="BS1248" s="29"/>
      <c r="BT1248" s="29"/>
      <c r="BU1248" s="29"/>
    </row>
    <row r="1249" spans="34:73" x14ac:dyDescent="0.25"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X1249" s="29"/>
      <c r="AY1249" s="29"/>
      <c r="AZ1249" s="29"/>
      <c r="BA1249" s="29"/>
      <c r="BB1249" s="29"/>
      <c r="BC1249" s="29"/>
      <c r="BD1249" s="29"/>
      <c r="BE1249" s="29"/>
      <c r="BF1249" s="29"/>
      <c r="BG1249" s="29"/>
      <c r="BH1249" s="29"/>
      <c r="BI1249" s="29"/>
      <c r="BJ1249" s="29"/>
      <c r="BK1249" s="29"/>
      <c r="BL1249" s="29"/>
      <c r="BM1249" s="29"/>
      <c r="BN1249" s="29"/>
      <c r="BO1249" s="29"/>
      <c r="BP1249" s="29"/>
      <c r="BQ1249" s="29"/>
      <c r="BR1249" s="29"/>
      <c r="BS1249" s="29"/>
      <c r="BT1249" s="29"/>
      <c r="BU1249" s="29"/>
    </row>
    <row r="1250" spans="34:73" x14ac:dyDescent="0.25">
      <c r="AH1250" s="29"/>
      <c r="AI1250" s="29"/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  <c r="AT1250" s="29"/>
      <c r="AU1250" s="29"/>
      <c r="AV1250" s="29"/>
      <c r="AW1250" s="29"/>
      <c r="AX1250" s="29"/>
      <c r="AY1250" s="29"/>
      <c r="AZ1250" s="29"/>
      <c r="BA1250" s="29"/>
      <c r="BB1250" s="29"/>
      <c r="BC1250" s="29"/>
      <c r="BD1250" s="29"/>
      <c r="BE1250" s="29"/>
      <c r="BF1250" s="29"/>
      <c r="BG1250" s="29"/>
      <c r="BH1250" s="29"/>
      <c r="BI1250" s="29"/>
      <c r="BJ1250" s="29"/>
      <c r="BK1250" s="29"/>
      <c r="BL1250" s="29"/>
      <c r="BM1250" s="29"/>
      <c r="BN1250" s="29"/>
      <c r="BO1250" s="29"/>
      <c r="BP1250" s="29"/>
      <c r="BQ1250" s="29"/>
      <c r="BR1250" s="29"/>
      <c r="BS1250" s="29"/>
      <c r="BT1250" s="29"/>
      <c r="BU1250" s="29"/>
    </row>
    <row r="1251" spans="34:73" x14ac:dyDescent="0.25"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X1251" s="29"/>
      <c r="AY1251" s="29"/>
      <c r="AZ1251" s="29"/>
      <c r="BA1251" s="29"/>
      <c r="BB1251" s="29"/>
      <c r="BC1251" s="29"/>
      <c r="BD1251" s="29"/>
      <c r="BE1251" s="29"/>
      <c r="BF1251" s="29"/>
      <c r="BG1251" s="29"/>
      <c r="BH1251" s="29"/>
      <c r="BI1251" s="29"/>
      <c r="BJ1251" s="29"/>
      <c r="BK1251" s="29"/>
      <c r="BL1251" s="29"/>
      <c r="BM1251" s="29"/>
      <c r="BN1251" s="29"/>
      <c r="BO1251" s="29"/>
      <c r="BP1251" s="29"/>
      <c r="BQ1251" s="29"/>
      <c r="BR1251" s="29"/>
      <c r="BS1251" s="29"/>
      <c r="BT1251" s="29"/>
      <c r="BU1251" s="29"/>
    </row>
    <row r="1252" spans="34:73" x14ac:dyDescent="0.25"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X1252" s="29"/>
      <c r="AY1252" s="29"/>
      <c r="AZ1252" s="29"/>
      <c r="BA1252" s="29"/>
      <c r="BB1252" s="29"/>
      <c r="BC1252" s="29"/>
      <c r="BD1252" s="29"/>
      <c r="BE1252" s="29"/>
      <c r="BF1252" s="29"/>
      <c r="BG1252" s="29"/>
      <c r="BH1252" s="29"/>
      <c r="BI1252" s="29"/>
      <c r="BJ1252" s="29"/>
      <c r="BK1252" s="29"/>
      <c r="BL1252" s="29"/>
      <c r="BM1252" s="29"/>
      <c r="BN1252" s="29"/>
      <c r="BO1252" s="29"/>
      <c r="BP1252" s="29"/>
      <c r="BQ1252" s="29"/>
      <c r="BR1252" s="29"/>
      <c r="BS1252" s="29"/>
      <c r="BT1252" s="29"/>
      <c r="BU1252" s="29"/>
    </row>
    <row r="1253" spans="34:73" x14ac:dyDescent="0.25">
      <c r="AH1253" s="29"/>
      <c r="AI1253" s="29"/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  <c r="AT1253" s="29"/>
      <c r="AU1253" s="29"/>
      <c r="AV1253" s="29"/>
      <c r="AW1253" s="29"/>
      <c r="AX1253" s="29"/>
      <c r="AY1253" s="29"/>
      <c r="AZ1253" s="29"/>
      <c r="BA1253" s="29"/>
      <c r="BB1253" s="29"/>
      <c r="BC1253" s="29"/>
      <c r="BD1253" s="29"/>
      <c r="BE1253" s="29"/>
      <c r="BF1253" s="29"/>
      <c r="BG1253" s="29"/>
      <c r="BH1253" s="29"/>
      <c r="BI1253" s="29"/>
      <c r="BJ1253" s="29"/>
      <c r="BK1253" s="29"/>
      <c r="BL1253" s="29"/>
      <c r="BM1253" s="29"/>
      <c r="BN1253" s="29"/>
      <c r="BO1253" s="29"/>
      <c r="BP1253" s="29"/>
      <c r="BQ1253" s="29"/>
      <c r="BR1253" s="29"/>
      <c r="BS1253" s="29"/>
      <c r="BT1253" s="29"/>
      <c r="BU1253" s="29"/>
    </row>
    <row r="1254" spans="34:73" x14ac:dyDescent="0.25"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X1254" s="29"/>
      <c r="AY1254" s="29"/>
      <c r="AZ1254" s="29"/>
      <c r="BA1254" s="29"/>
      <c r="BB1254" s="29"/>
      <c r="BC1254" s="29"/>
      <c r="BD1254" s="29"/>
      <c r="BE1254" s="29"/>
      <c r="BF1254" s="29"/>
      <c r="BG1254" s="29"/>
      <c r="BH1254" s="29"/>
      <c r="BI1254" s="29"/>
      <c r="BJ1254" s="29"/>
      <c r="BK1254" s="29"/>
      <c r="BL1254" s="29"/>
      <c r="BM1254" s="29"/>
      <c r="BN1254" s="29"/>
      <c r="BO1254" s="29"/>
      <c r="BP1254" s="29"/>
      <c r="BQ1254" s="29"/>
      <c r="BR1254" s="29"/>
      <c r="BS1254" s="29"/>
      <c r="BT1254" s="29"/>
      <c r="BU1254" s="29"/>
    </row>
    <row r="1255" spans="34:73" x14ac:dyDescent="0.25">
      <c r="AH1255" s="29"/>
      <c r="AI1255" s="29"/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  <c r="AT1255" s="29"/>
      <c r="AU1255" s="29"/>
      <c r="AV1255" s="29"/>
      <c r="AW1255" s="29"/>
      <c r="AX1255" s="29"/>
      <c r="AY1255" s="29"/>
      <c r="AZ1255" s="29"/>
      <c r="BA1255" s="29"/>
      <c r="BB1255" s="29"/>
      <c r="BC1255" s="29"/>
      <c r="BD1255" s="29"/>
      <c r="BE1255" s="29"/>
      <c r="BF1255" s="29"/>
      <c r="BG1255" s="29"/>
      <c r="BH1255" s="29"/>
      <c r="BI1255" s="29"/>
      <c r="BJ1255" s="29"/>
      <c r="BK1255" s="29"/>
      <c r="BL1255" s="29"/>
      <c r="BM1255" s="29"/>
      <c r="BN1255" s="29"/>
      <c r="BO1255" s="29"/>
      <c r="BP1255" s="29"/>
      <c r="BQ1255" s="29"/>
      <c r="BR1255" s="29"/>
      <c r="BS1255" s="29"/>
      <c r="BT1255" s="29"/>
      <c r="BU1255" s="29"/>
    </row>
    <row r="1256" spans="34:73" x14ac:dyDescent="0.25">
      <c r="AH1256" s="29"/>
      <c r="AI1256" s="29"/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  <c r="AT1256" s="29"/>
      <c r="AU1256" s="29"/>
      <c r="AV1256" s="29"/>
      <c r="AW1256" s="29"/>
      <c r="AX1256" s="29"/>
      <c r="AY1256" s="29"/>
      <c r="AZ1256" s="29"/>
      <c r="BA1256" s="29"/>
      <c r="BB1256" s="29"/>
      <c r="BC1256" s="29"/>
      <c r="BD1256" s="29"/>
      <c r="BE1256" s="29"/>
      <c r="BF1256" s="29"/>
      <c r="BG1256" s="29"/>
      <c r="BH1256" s="29"/>
      <c r="BI1256" s="29"/>
      <c r="BJ1256" s="29"/>
      <c r="BK1256" s="29"/>
      <c r="BL1256" s="29"/>
      <c r="BM1256" s="29"/>
      <c r="BN1256" s="29"/>
      <c r="BO1256" s="29"/>
      <c r="BP1256" s="29"/>
      <c r="BQ1256" s="29"/>
      <c r="BR1256" s="29"/>
      <c r="BS1256" s="29"/>
      <c r="BT1256" s="29"/>
      <c r="BU1256" s="29"/>
    </row>
    <row r="1257" spans="34:73" x14ac:dyDescent="0.25"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X1257" s="29"/>
      <c r="AY1257" s="29"/>
      <c r="AZ1257" s="29"/>
      <c r="BA1257" s="29"/>
      <c r="BB1257" s="29"/>
      <c r="BC1257" s="29"/>
      <c r="BD1257" s="29"/>
      <c r="BE1257" s="29"/>
      <c r="BF1257" s="29"/>
      <c r="BG1257" s="29"/>
      <c r="BH1257" s="29"/>
      <c r="BI1257" s="29"/>
      <c r="BJ1257" s="29"/>
      <c r="BK1257" s="29"/>
      <c r="BL1257" s="29"/>
      <c r="BM1257" s="29"/>
      <c r="BN1257" s="29"/>
      <c r="BO1257" s="29"/>
      <c r="BP1257" s="29"/>
      <c r="BQ1257" s="29"/>
      <c r="BR1257" s="29"/>
      <c r="BS1257" s="29"/>
      <c r="BT1257" s="29"/>
      <c r="BU1257" s="29"/>
    </row>
    <row r="1258" spans="34:73" x14ac:dyDescent="0.25">
      <c r="AH1258" s="29"/>
      <c r="AI1258" s="29"/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  <c r="AT1258" s="29"/>
      <c r="AU1258" s="29"/>
      <c r="AV1258" s="29"/>
      <c r="AW1258" s="29"/>
      <c r="AX1258" s="29"/>
      <c r="AY1258" s="29"/>
      <c r="AZ1258" s="29"/>
      <c r="BA1258" s="29"/>
      <c r="BB1258" s="29"/>
      <c r="BC1258" s="29"/>
      <c r="BD1258" s="29"/>
      <c r="BE1258" s="29"/>
      <c r="BF1258" s="29"/>
      <c r="BG1258" s="29"/>
      <c r="BH1258" s="29"/>
      <c r="BI1258" s="29"/>
      <c r="BJ1258" s="29"/>
      <c r="BK1258" s="29"/>
      <c r="BL1258" s="29"/>
      <c r="BM1258" s="29"/>
      <c r="BN1258" s="29"/>
      <c r="BO1258" s="29"/>
      <c r="BP1258" s="29"/>
      <c r="BQ1258" s="29"/>
      <c r="BR1258" s="29"/>
      <c r="BS1258" s="29"/>
      <c r="BT1258" s="29"/>
      <c r="BU1258" s="29"/>
    </row>
    <row r="1259" spans="34:73" x14ac:dyDescent="0.25"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  <c r="AY1259" s="29"/>
      <c r="AZ1259" s="29"/>
      <c r="BA1259" s="29"/>
      <c r="BB1259" s="29"/>
      <c r="BC1259" s="29"/>
      <c r="BD1259" s="29"/>
      <c r="BE1259" s="29"/>
      <c r="BF1259" s="29"/>
      <c r="BG1259" s="29"/>
      <c r="BH1259" s="29"/>
      <c r="BI1259" s="29"/>
      <c r="BJ1259" s="29"/>
      <c r="BK1259" s="29"/>
      <c r="BL1259" s="29"/>
      <c r="BM1259" s="29"/>
      <c r="BN1259" s="29"/>
      <c r="BO1259" s="29"/>
      <c r="BP1259" s="29"/>
      <c r="BQ1259" s="29"/>
      <c r="BR1259" s="29"/>
      <c r="BS1259" s="29"/>
      <c r="BT1259" s="29"/>
      <c r="BU1259" s="29"/>
    </row>
    <row r="1260" spans="34:73" x14ac:dyDescent="0.25"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X1260" s="29"/>
      <c r="AY1260" s="29"/>
      <c r="AZ1260" s="29"/>
      <c r="BA1260" s="29"/>
      <c r="BB1260" s="29"/>
      <c r="BC1260" s="29"/>
      <c r="BD1260" s="29"/>
      <c r="BE1260" s="29"/>
      <c r="BF1260" s="29"/>
      <c r="BG1260" s="29"/>
      <c r="BH1260" s="29"/>
      <c r="BI1260" s="29"/>
      <c r="BJ1260" s="29"/>
      <c r="BK1260" s="29"/>
      <c r="BL1260" s="29"/>
      <c r="BM1260" s="29"/>
      <c r="BN1260" s="29"/>
      <c r="BO1260" s="29"/>
      <c r="BP1260" s="29"/>
      <c r="BQ1260" s="29"/>
      <c r="BR1260" s="29"/>
      <c r="BS1260" s="29"/>
      <c r="BT1260" s="29"/>
      <c r="BU1260" s="29"/>
    </row>
    <row r="1261" spans="34:73" x14ac:dyDescent="0.25"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X1261" s="29"/>
      <c r="AY1261" s="29"/>
      <c r="AZ1261" s="29"/>
      <c r="BA1261" s="29"/>
      <c r="BB1261" s="29"/>
      <c r="BC1261" s="29"/>
      <c r="BD1261" s="29"/>
      <c r="BE1261" s="29"/>
      <c r="BF1261" s="29"/>
      <c r="BG1261" s="29"/>
      <c r="BH1261" s="29"/>
      <c r="BI1261" s="29"/>
      <c r="BJ1261" s="29"/>
      <c r="BK1261" s="29"/>
      <c r="BL1261" s="29"/>
      <c r="BM1261" s="29"/>
      <c r="BN1261" s="29"/>
      <c r="BO1261" s="29"/>
      <c r="BP1261" s="29"/>
      <c r="BQ1261" s="29"/>
      <c r="BR1261" s="29"/>
      <c r="BS1261" s="29"/>
      <c r="BT1261" s="29"/>
      <c r="BU1261" s="29"/>
    </row>
    <row r="1262" spans="34:73" x14ac:dyDescent="0.25">
      <c r="AH1262" s="29"/>
      <c r="AI1262" s="29"/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  <c r="AT1262" s="29"/>
      <c r="AU1262" s="29"/>
      <c r="AV1262" s="29"/>
      <c r="AW1262" s="29"/>
      <c r="AX1262" s="29"/>
      <c r="AY1262" s="29"/>
      <c r="AZ1262" s="29"/>
      <c r="BA1262" s="29"/>
      <c r="BB1262" s="29"/>
      <c r="BC1262" s="29"/>
      <c r="BD1262" s="29"/>
      <c r="BE1262" s="29"/>
      <c r="BF1262" s="29"/>
      <c r="BG1262" s="29"/>
      <c r="BH1262" s="29"/>
      <c r="BI1262" s="29"/>
      <c r="BJ1262" s="29"/>
      <c r="BK1262" s="29"/>
      <c r="BL1262" s="29"/>
      <c r="BM1262" s="29"/>
      <c r="BN1262" s="29"/>
      <c r="BO1262" s="29"/>
      <c r="BP1262" s="29"/>
      <c r="BQ1262" s="29"/>
      <c r="BR1262" s="29"/>
      <c r="BS1262" s="29"/>
      <c r="BT1262" s="29"/>
      <c r="BU1262" s="29"/>
    </row>
    <row r="1263" spans="34:73" x14ac:dyDescent="0.25">
      <c r="AH1263" s="29"/>
      <c r="AI1263" s="29"/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  <c r="AT1263" s="29"/>
      <c r="AU1263" s="29"/>
      <c r="AV1263" s="29"/>
      <c r="AW1263" s="29"/>
      <c r="AX1263" s="29"/>
      <c r="AY1263" s="29"/>
      <c r="AZ1263" s="29"/>
      <c r="BA1263" s="29"/>
      <c r="BB1263" s="29"/>
      <c r="BC1263" s="29"/>
      <c r="BD1263" s="29"/>
      <c r="BE1263" s="29"/>
      <c r="BF1263" s="29"/>
      <c r="BG1263" s="29"/>
      <c r="BH1263" s="29"/>
      <c r="BI1263" s="29"/>
      <c r="BJ1263" s="29"/>
      <c r="BK1263" s="29"/>
      <c r="BL1263" s="29"/>
      <c r="BM1263" s="29"/>
      <c r="BN1263" s="29"/>
      <c r="BO1263" s="29"/>
      <c r="BP1263" s="29"/>
      <c r="BQ1263" s="29"/>
      <c r="BR1263" s="29"/>
      <c r="BS1263" s="29"/>
      <c r="BT1263" s="29"/>
      <c r="BU1263" s="29"/>
    </row>
    <row r="1264" spans="34:73" x14ac:dyDescent="0.25"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X1264" s="29"/>
      <c r="AY1264" s="29"/>
      <c r="AZ1264" s="29"/>
      <c r="BA1264" s="29"/>
      <c r="BB1264" s="29"/>
      <c r="BC1264" s="29"/>
      <c r="BD1264" s="29"/>
      <c r="BE1264" s="29"/>
      <c r="BF1264" s="29"/>
      <c r="BG1264" s="29"/>
      <c r="BH1264" s="29"/>
      <c r="BI1264" s="29"/>
      <c r="BJ1264" s="29"/>
      <c r="BK1264" s="29"/>
      <c r="BL1264" s="29"/>
      <c r="BM1264" s="29"/>
      <c r="BN1264" s="29"/>
      <c r="BO1264" s="29"/>
      <c r="BP1264" s="29"/>
      <c r="BQ1264" s="29"/>
      <c r="BR1264" s="29"/>
      <c r="BS1264" s="29"/>
      <c r="BT1264" s="29"/>
      <c r="BU1264" s="29"/>
    </row>
    <row r="1265" spans="34:73" x14ac:dyDescent="0.25">
      <c r="AH1265" s="29"/>
      <c r="AI1265" s="29"/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  <c r="AT1265" s="29"/>
      <c r="AU1265" s="29"/>
      <c r="AV1265" s="29"/>
      <c r="AW1265" s="29"/>
      <c r="AX1265" s="29"/>
      <c r="AY1265" s="29"/>
      <c r="AZ1265" s="29"/>
      <c r="BA1265" s="29"/>
      <c r="BB1265" s="29"/>
      <c r="BC1265" s="29"/>
      <c r="BD1265" s="29"/>
      <c r="BE1265" s="29"/>
      <c r="BF1265" s="29"/>
      <c r="BG1265" s="29"/>
      <c r="BH1265" s="29"/>
      <c r="BI1265" s="29"/>
      <c r="BJ1265" s="29"/>
      <c r="BK1265" s="29"/>
      <c r="BL1265" s="29"/>
      <c r="BM1265" s="29"/>
      <c r="BN1265" s="29"/>
      <c r="BO1265" s="29"/>
      <c r="BP1265" s="29"/>
      <c r="BQ1265" s="29"/>
      <c r="BR1265" s="29"/>
      <c r="BS1265" s="29"/>
      <c r="BT1265" s="29"/>
      <c r="BU1265" s="29"/>
    </row>
    <row r="1266" spans="34:73" x14ac:dyDescent="0.25"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  <c r="AY1266" s="29"/>
      <c r="AZ1266" s="29"/>
      <c r="BA1266" s="29"/>
      <c r="BB1266" s="29"/>
      <c r="BC1266" s="29"/>
      <c r="BD1266" s="29"/>
      <c r="BE1266" s="29"/>
      <c r="BF1266" s="29"/>
      <c r="BG1266" s="29"/>
      <c r="BH1266" s="29"/>
      <c r="BI1266" s="29"/>
      <c r="BJ1266" s="29"/>
      <c r="BK1266" s="29"/>
      <c r="BL1266" s="29"/>
      <c r="BM1266" s="29"/>
      <c r="BN1266" s="29"/>
      <c r="BO1266" s="29"/>
      <c r="BP1266" s="29"/>
      <c r="BQ1266" s="29"/>
      <c r="BR1266" s="29"/>
      <c r="BS1266" s="29"/>
      <c r="BT1266" s="29"/>
      <c r="BU1266" s="29"/>
    </row>
    <row r="1267" spans="34:73" x14ac:dyDescent="0.25">
      <c r="AH1267" s="29"/>
      <c r="AI1267" s="29"/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  <c r="AT1267" s="29"/>
      <c r="AU1267" s="29"/>
      <c r="AV1267" s="29"/>
      <c r="AW1267" s="29"/>
      <c r="AX1267" s="29"/>
      <c r="AY1267" s="29"/>
      <c r="AZ1267" s="29"/>
      <c r="BA1267" s="29"/>
      <c r="BB1267" s="29"/>
      <c r="BC1267" s="29"/>
      <c r="BD1267" s="29"/>
      <c r="BE1267" s="29"/>
      <c r="BF1267" s="29"/>
      <c r="BG1267" s="29"/>
      <c r="BH1267" s="29"/>
      <c r="BI1267" s="29"/>
      <c r="BJ1267" s="29"/>
      <c r="BK1267" s="29"/>
      <c r="BL1267" s="29"/>
      <c r="BM1267" s="29"/>
      <c r="BN1267" s="29"/>
      <c r="BO1267" s="29"/>
      <c r="BP1267" s="29"/>
      <c r="BQ1267" s="29"/>
      <c r="BR1267" s="29"/>
      <c r="BS1267" s="29"/>
      <c r="BT1267" s="29"/>
      <c r="BU1267" s="29"/>
    </row>
    <row r="1268" spans="34:73" x14ac:dyDescent="0.25"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X1268" s="29"/>
      <c r="AY1268" s="29"/>
      <c r="AZ1268" s="29"/>
      <c r="BA1268" s="29"/>
      <c r="BB1268" s="29"/>
      <c r="BC1268" s="29"/>
      <c r="BD1268" s="29"/>
      <c r="BE1268" s="29"/>
      <c r="BF1268" s="29"/>
      <c r="BG1268" s="29"/>
      <c r="BH1268" s="29"/>
      <c r="BI1268" s="29"/>
      <c r="BJ1268" s="29"/>
      <c r="BK1268" s="29"/>
      <c r="BL1268" s="29"/>
      <c r="BM1268" s="29"/>
      <c r="BN1268" s="29"/>
      <c r="BO1268" s="29"/>
      <c r="BP1268" s="29"/>
      <c r="BQ1268" s="29"/>
      <c r="BR1268" s="29"/>
      <c r="BS1268" s="29"/>
      <c r="BT1268" s="29"/>
      <c r="BU1268" s="29"/>
    </row>
    <row r="1269" spans="34:73" x14ac:dyDescent="0.25">
      <c r="AH1269" s="29"/>
      <c r="AI1269" s="29"/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  <c r="AT1269" s="29"/>
      <c r="AU1269" s="29"/>
      <c r="AV1269" s="29"/>
      <c r="AW1269" s="29"/>
      <c r="AX1269" s="29"/>
      <c r="AY1269" s="29"/>
      <c r="AZ1269" s="29"/>
      <c r="BA1269" s="29"/>
      <c r="BB1269" s="29"/>
      <c r="BC1269" s="29"/>
      <c r="BD1269" s="29"/>
      <c r="BE1269" s="29"/>
      <c r="BF1269" s="29"/>
      <c r="BG1269" s="29"/>
      <c r="BH1269" s="29"/>
      <c r="BI1269" s="29"/>
      <c r="BJ1269" s="29"/>
      <c r="BK1269" s="29"/>
      <c r="BL1269" s="29"/>
      <c r="BM1269" s="29"/>
      <c r="BN1269" s="29"/>
      <c r="BO1269" s="29"/>
      <c r="BP1269" s="29"/>
      <c r="BQ1269" s="29"/>
      <c r="BR1269" s="29"/>
      <c r="BS1269" s="29"/>
      <c r="BT1269" s="29"/>
      <c r="BU1269" s="29"/>
    </row>
    <row r="1270" spans="34:73" x14ac:dyDescent="0.25"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X1270" s="29"/>
      <c r="AY1270" s="29"/>
      <c r="AZ1270" s="29"/>
      <c r="BA1270" s="29"/>
      <c r="BB1270" s="29"/>
      <c r="BC1270" s="29"/>
      <c r="BD1270" s="29"/>
      <c r="BE1270" s="29"/>
      <c r="BF1270" s="29"/>
      <c r="BG1270" s="29"/>
      <c r="BH1270" s="29"/>
      <c r="BI1270" s="29"/>
      <c r="BJ1270" s="29"/>
      <c r="BK1270" s="29"/>
      <c r="BL1270" s="29"/>
      <c r="BM1270" s="29"/>
      <c r="BN1270" s="29"/>
      <c r="BO1270" s="29"/>
      <c r="BP1270" s="29"/>
      <c r="BQ1270" s="29"/>
      <c r="BR1270" s="29"/>
      <c r="BS1270" s="29"/>
      <c r="BT1270" s="29"/>
      <c r="BU1270" s="29"/>
    </row>
    <row r="1271" spans="34:73" x14ac:dyDescent="0.25">
      <c r="AH1271" s="29"/>
      <c r="AI1271" s="29"/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  <c r="AT1271" s="29"/>
      <c r="AU1271" s="29"/>
      <c r="AV1271" s="29"/>
      <c r="AW1271" s="29"/>
      <c r="AX1271" s="29"/>
      <c r="AY1271" s="29"/>
      <c r="AZ1271" s="29"/>
      <c r="BA1271" s="29"/>
      <c r="BB1271" s="29"/>
      <c r="BC1271" s="29"/>
      <c r="BD1271" s="29"/>
      <c r="BE1271" s="29"/>
      <c r="BF1271" s="29"/>
      <c r="BG1271" s="29"/>
      <c r="BH1271" s="29"/>
      <c r="BI1271" s="29"/>
      <c r="BJ1271" s="29"/>
      <c r="BK1271" s="29"/>
      <c r="BL1271" s="29"/>
      <c r="BM1271" s="29"/>
      <c r="BN1271" s="29"/>
      <c r="BO1271" s="29"/>
      <c r="BP1271" s="29"/>
      <c r="BQ1271" s="29"/>
      <c r="BR1271" s="29"/>
      <c r="BS1271" s="29"/>
      <c r="BT1271" s="29"/>
      <c r="BU1271" s="29"/>
    </row>
    <row r="1272" spans="34:73" x14ac:dyDescent="0.25"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X1272" s="29"/>
      <c r="AY1272" s="29"/>
      <c r="AZ1272" s="29"/>
      <c r="BA1272" s="29"/>
      <c r="BB1272" s="29"/>
      <c r="BC1272" s="29"/>
      <c r="BD1272" s="29"/>
      <c r="BE1272" s="29"/>
      <c r="BF1272" s="29"/>
      <c r="BG1272" s="29"/>
      <c r="BH1272" s="29"/>
      <c r="BI1272" s="29"/>
      <c r="BJ1272" s="29"/>
      <c r="BK1272" s="29"/>
      <c r="BL1272" s="29"/>
      <c r="BM1272" s="29"/>
      <c r="BN1272" s="29"/>
      <c r="BO1272" s="29"/>
      <c r="BP1272" s="29"/>
      <c r="BQ1272" s="29"/>
      <c r="BR1272" s="29"/>
      <c r="BS1272" s="29"/>
      <c r="BT1272" s="29"/>
      <c r="BU1272" s="29"/>
    </row>
    <row r="1273" spans="34:73" x14ac:dyDescent="0.25">
      <c r="AH1273" s="29"/>
      <c r="AI1273" s="29"/>
      <c r="AJ1273" s="29"/>
      <c r="AK1273" s="29"/>
      <c r="AL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X1273" s="29"/>
      <c r="AY1273" s="29"/>
      <c r="AZ1273" s="29"/>
      <c r="BA1273" s="29"/>
      <c r="BB1273" s="29"/>
      <c r="BC1273" s="29"/>
      <c r="BD1273" s="29"/>
      <c r="BE1273" s="29"/>
      <c r="BF1273" s="29"/>
      <c r="BG1273" s="29"/>
      <c r="BH1273" s="29"/>
      <c r="BI1273" s="29"/>
      <c r="BJ1273" s="29"/>
      <c r="BK1273" s="29"/>
      <c r="BL1273" s="29"/>
      <c r="BM1273" s="29"/>
      <c r="BN1273" s="29"/>
      <c r="BO1273" s="29"/>
      <c r="BP1273" s="29"/>
      <c r="BQ1273" s="29"/>
      <c r="BR1273" s="29"/>
      <c r="BS1273" s="29"/>
      <c r="BT1273" s="29"/>
      <c r="BU1273" s="29"/>
    </row>
    <row r="1274" spans="34:73" x14ac:dyDescent="0.25">
      <c r="AH1274" s="29"/>
      <c r="AI1274" s="29"/>
      <c r="AJ1274" s="29"/>
      <c r="AK1274" s="29"/>
      <c r="AL1274" s="29"/>
      <c r="AN1274" s="29"/>
      <c r="AO1274" s="29"/>
      <c r="AP1274" s="29"/>
      <c r="AQ1274" s="29"/>
      <c r="AR1274" s="29"/>
      <c r="AS1274" s="29"/>
      <c r="AT1274" s="29"/>
      <c r="AU1274" s="29"/>
      <c r="AV1274" s="29"/>
      <c r="AW1274" s="29"/>
      <c r="AX1274" s="29"/>
      <c r="AY1274" s="29"/>
      <c r="AZ1274" s="29"/>
      <c r="BA1274" s="29"/>
      <c r="BB1274" s="29"/>
      <c r="BC1274" s="29"/>
      <c r="BD1274" s="29"/>
      <c r="BE1274" s="29"/>
      <c r="BF1274" s="29"/>
      <c r="BG1274" s="29"/>
      <c r="BH1274" s="29"/>
      <c r="BI1274" s="29"/>
      <c r="BJ1274" s="29"/>
      <c r="BK1274" s="29"/>
      <c r="BL1274" s="29"/>
      <c r="BM1274" s="29"/>
      <c r="BN1274" s="29"/>
      <c r="BO1274" s="29"/>
      <c r="BP1274" s="29"/>
      <c r="BQ1274" s="29"/>
      <c r="BR1274" s="29"/>
      <c r="BS1274" s="29"/>
      <c r="BT1274" s="29"/>
      <c r="BU1274" s="29"/>
    </row>
    <row r="1275" spans="34:73" x14ac:dyDescent="0.25">
      <c r="AH1275" s="29"/>
      <c r="AI1275" s="29"/>
      <c r="AJ1275" s="29"/>
      <c r="AK1275" s="29"/>
      <c r="AL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  <c r="AY1275" s="29"/>
      <c r="AZ1275" s="29"/>
      <c r="BA1275" s="29"/>
      <c r="BB1275" s="29"/>
      <c r="BC1275" s="29"/>
      <c r="BD1275" s="29"/>
      <c r="BE1275" s="29"/>
      <c r="BF1275" s="29"/>
      <c r="BG1275" s="29"/>
      <c r="BH1275" s="29"/>
      <c r="BI1275" s="29"/>
      <c r="BJ1275" s="29"/>
      <c r="BK1275" s="29"/>
      <c r="BL1275" s="29"/>
      <c r="BM1275" s="29"/>
      <c r="BN1275" s="29"/>
      <c r="BO1275" s="29"/>
      <c r="BP1275" s="29"/>
      <c r="BQ1275" s="29"/>
      <c r="BR1275" s="29"/>
      <c r="BS1275" s="29"/>
      <c r="BT1275" s="29"/>
      <c r="BU1275" s="29"/>
    </row>
  </sheetData>
  <sheetProtection sheet="1" selectLockedCells="1" formatCells="0" formatRows="0" algorithmName="SHA-512" hashValue="eUnrvPubZihAuW3aDMnhA/W+trfXr1UIuyo7orR+bxlfA7s7/s6zcJKtKFR+G8QstXCP00cCaRYf5B7lfr16gA==" saltValue="7nu0ZzCsryZy7hbwnGowYA==" spinCount="100000"/>
  <mergeCells count="574">
    <mergeCell ref="C3:AE3"/>
    <mergeCell ref="C5:AE5"/>
    <mergeCell ref="D6:G6"/>
    <mergeCell ref="H6:J6"/>
    <mergeCell ref="K6:O6"/>
    <mergeCell ref="P6:S6"/>
    <mergeCell ref="T6:Z6"/>
    <mergeCell ref="AA6:AE6"/>
    <mergeCell ref="D7:G7"/>
    <mergeCell ref="H7:J7"/>
    <mergeCell ref="K7:O7"/>
    <mergeCell ref="P7:S7"/>
    <mergeCell ref="T7:Z7"/>
    <mergeCell ref="AA7:AE7"/>
    <mergeCell ref="D8:G8"/>
    <mergeCell ref="H8:J8"/>
    <mergeCell ref="K8:O8"/>
    <mergeCell ref="P8:S8"/>
    <mergeCell ref="T8:Z8"/>
    <mergeCell ref="AA8:AE8"/>
    <mergeCell ref="D9:G9"/>
    <mergeCell ref="H9:J9"/>
    <mergeCell ref="K9:O9"/>
    <mergeCell ref="P9:S9"/>
    <mergeCell ref="T9:Z9"/>
    <mergeCell ref="AA9:AE9"/>
    <mergeCell ref="D10:G10"/>
    <mergeCell ref="H10:J10"/>
    <mergeCell ref="K10:O10"/>
    <mergeCell ref="P10:S10"/>
    <mergeCell ref="T10:Z10"/>
    <mergeCell ref="AA10:AE10"/>
    <mergeCell ref="D11:G11"/>
    <mergeCell ref="H11:J11"/>
    <mergeCell ref="K11:O11"/>
    <mergeCell ref="P11:S11"/>
    <mergeCell ref="T11:Z11"/>
    <mergeCell ref="AA11:AE11"/>
    <mergeCell ref="D12:G12"/>
    <mergeCell ref="H12:J12"/>
    <mergeCell ref="K12:O12"/>
    <mergeCell ref="P12:S12"/>
    <mergeCell ref="T12:Z12"/>
    <mergeCell ref="AA12:AE12"/>
    <mergeCell ref="D13:G13"/>
    <mergeCell ref="H13:J13"/>
    <mergeCell ref="K13:O13"/>
    <mergeCell ref="D14:G14"/>
    <mergeCell ref="H14:J14"/>
    <mergeCell ref="K14:O14"/>
    <mergeCell ref="D15:G15"/>
    <mergeCell ref="H15:J15"/>
    <mergeCell ref="K15:O15"/>
    <mergeCell ref="P15:S15"/>
    <mergeCell ref="T15:Z15"/>
    <mergeCell ref="AA15:AE15"/>
    <mergeCell ref="D16:G16"/>
    <mergeCell ref="H16:J16"/>
    <mergeCell ref="K16:O16"/>
    <mergeCell ref="P16:S16"/>
    <mergeCell ref="T16:Z16"/>
    <mergeCell ref="AA16:AE16"/>
    <mergeCell ref="D17:G17"/>
    <mergeCell ref="H17:J17"/>
    <mergeCell ref="K17:O17"/>
    <mergeCell ref="P17:S17"/>
    <mergeCell ref="T17:Z17"/>
    <mergeCell ref="AA17:AE17"/>
    <mergeCell ref="C18:AE19"/>
    <mergeCell ref="C20:AE20"/>
    <mergeCell ref="D21:G21"/>
    <mergeCell ref="H21:J21"/>
    <mergeCell ref="L21:O21"/>
    <mergeCell ref="P21:S21"/>
    <mergeCell ref="T21:V21"/>
    <mergeCell ref="W21:Y21"/>
    <mergeCell ref="Z21:AB21"/>
    <mergeCell ref="AC21:AE21"/>
    <mergeCell ref="D22:G22"/>
    <mergeCell ref="H22:J22"/>
    <mergeCell ref="L22:O22"/>
    <mergeCell ref="P22:S22"/>
    <mergeCell ref="T22:V22"/>
    <mergeCell ref="W22:Y22"/>
    <mergeCell ref="Z22:AB22"/>
    <mergeCell ref="AC22:AE22"/>
    <mergeCell ref="D23:G23"/>
    <mergeCell ref="H23:J23"/>
    <mergeCell ref="L23:O23"/>
    <mergeCell ref="P23:S23"/>
    <mergeCell ref="T23:V23"/>
    <mergeCell ref="W23:Y23"/>
    <mergeCell ref="Z23:AB23"/>
    <mergeCell ref="AC23:AE23"/>
    <mergeCell ref="D24:G24"/>
    <mergeCell ref="H24:J24"/>
    <mergeCell ref="L24:O24"/>
    <mergeCell ref="P24:S24"/>
    <mergeCell ref="T24:V24"/>
    <mergeCell ref="W24:Y24"/>
    <mergeCell ref="Z24:AB24"/>
    <mergeCell ref="AC24:AE24"/>
    <mergeCell ref="D25:G25"/>
    <mergeCell ref="H25:J25"/>
    <mergeCell ref="L25:O25"/>
    <mergeCell ref="P25:S25"/>
    <mergeCell ref="T25:V25"/>
    <mergeCell ref="W25:Y25"/>
    <mergeCell ref="Z25:AB25"/>
    <mergeCell ref="AC25:AE25"/>
    <mergeCell ref="D26:G26"/>
    <mergeCell ref="H26:J26"/>
    <mergeCell ref="L26:O26"/>
    <mergeCell ref="P26:S26"/>
    <mergeCell ref="T26:V26"/>
    <mergeCell ref="W26:Y26"/>
    <mergeCell ref="Z26:AB26"/>
    <mergeCell ref="AC26:AE26"/>
    <mergeCell ref="D27:G27"/>
    <mergeCell ref="H27:J27"/>
    <mergeCell ref="L27:O27"/>
    <mergeCell ref="P27:S27"/>
    <mergeCell ref="T27:V27"/>
    <mergeCell ref="W27:Y27"/>
    <mergeCell ref="Z27:AB27"/>
    <mergeCell ref="AC27:AE27"/>
    <mergeCell ref="D28:G28"/>
    <mergeCell ref="H28:J28"/>
    <mergeCell ref="L28:O28"/>
    <mergeCell ref="P28:S28"/>
    <mergeCell ref="T28:V28"/>
    <mergeCell ref="W28:Y28"/>
    <mergeCell ref="Z28:AB28"/>
    <mergeCell ref="AC28:AE28"/>
    <mergeCell ref="D29:G29"/>
    <mergeCell ref="H29:J29"/>
    <mergeCell ref="L29:O29"/>
    <mergeCell ref="P29:S29"/>
    <mergeCell ref="T29:V29"/>
    <mergeCell ref="W29:Y29"/>
    <mergeCell ref="Z29:AB29"/>
    <mergeCell ref="AC29:AE29"/>
    <mergeCell ref="D30:G30"/>
    <mergeCell ref="H30:J30"/>
    <mergeCell ref="L30:O30"/>
    <mergeCell ref="P30:S30"/>
    <mergeCell ref="T30:V30"/>
    <mergeCell ref="W30:Y30"/>
    <mergeCell ref="Z30:AB30"/>
    <mergeCell ref="AC30:AE30"/>
    <mergeCell ref="D31:G31"/>
    <mergeCell ref="H31:J31"/>
    <mergeCell ref="L31:O31"/>
    <mergeCell ref="P31:S31"/>
    <mergeCell ref="T31:V31"/>
    <mergeCell ref="W31:Y31"/>
    <mergeCell ref="Z31:AB31"/>
    <mergeCell ref="AC31:AE31"/>
    <mergeCell ref="D32:G32"/>
    <mergeCell ref="H32:J32"/>
    <mergeCell ref="L32:O32"/>
    <mergeCell ref="P32:S32"/>
    <mergeCell ref="T32:V32"/>
    <mergeCell ref="W32:Y32"/>
    <mergeCell ref="Z32:AB32"/>
    <mergeCell ref="AC32:AE32"/>
    <mergeCell ref="D33:G33"/>
    <mergeCell ref="H33:J33"/>
    <mergeCell ref="L33:O33"/>
    <mergeCell ref="P33:S33"/>
    <mergeCell ref="T33:V33"/>
    <mergeCell ref="W33:Y33"/>
    <mergeCell ref="Z33:AB33"/>
    <mergeCell ref="AC33:AE33"/>
    <mergeCell ref="D34:G34"/>
    <mergeCell ref="H34:J34"/>
    <mergeCell ref="L34:O34"/>
    <mergeCell ref="P34:S34"/>
    <mergeCell ref="T34:V34"/>
    <mergeCell ref="W34:Y34"/>
    <mergeCell ref="Z34:AB34"/>
    <mergeCell ref="AC34:AE34"/>
    <mergeCell ref="D35:G35"/>
    <mergeCell ref="H35:J35"/>
    <mergeCell ref="L35:O35"/>
    <mergeCell ref="P35:S35"/>
    <mergeCell ref="T35:V35"/>
    <mergeCell ref="W35:Y35"/>
    <mergeCell ref="Z35:AB35"/>
    <mergeCell ref="AC35:AE35"/>
    <mergeCell ref="D36:G36"/>
    <mergeCell ref="H36:J36"/>
    <mergeCell ref="L36:O36"/>
    <mergeCell ref="P36:S36"/>
    <mergeCell ref="T36:V36"/>
    <mergeCell ref="W36:Y36"/>
    <mergeCell ref="Z36:AB36"/>
    <mergeCell ref="AC36:AE36"/>
    <mergeCell ref="D37:G37"/>
    <mergeCell ref="H37:J37"/>
    <mergeCell ref="L37:O37"/>
    <mergeCell ref="P37:S37"/>
    <mergeCell ref="T37:V37"/>
    <mergeCell ref="W37:Y37"/>
    <mergeCell ref="Z37:AB37"/>
    <mergeCell ref="AC37:AE37"/>
    <mergeCell ref="D38:G38"/>
    <mergeCell ref="H38:J38"/>
    <mergeCell ref="L38:O38"/>
    <mergeCell ref="P38:S38"/>
    <mergeCell ref="T38:V38"/>
    <mergeCell ref="W38:Y38"/>
    <mergeCell ref="Z38:AB38"/>
    <mergeCell ref="AC38:AE38"/>
    <mergeCell ref="D39:G39"/>
    <mergeCell ref="H39:J39"/>
    <mergeCell ref="L39:O39"/>
    <mergeCell ref="P39:S39"/>
    <mergeCell ref="T39:V39"/>
    <mergeCell ref="W39:Y39"/>
    <mergeCell ref="Z39:AB39"/>
    <mergeCell ref="AC39:AE39"/>
    <mergeCell ref="D40:G40"/>
    <mergeCell ref="H40:J40"/>
    <mergeCell ref="L40:O40"/>
    <mergeCell ref="P40:S40"/>
    <mergeCell ref="T40:V40"/>
    <mergeCell ref="W40:Y40"/>
    <mergeCell ref="Z40:AB40"/>
    <mergeCell ref="AC40:AE40"/>
    <mergeCell ref="D41:G41"/>
    <mergeCell ref="H41:J41"/>
    <mergeCell ref="L41:O41"/>
    <mergeCell ref="P41:S41"/>
    <mergeCell ref="T41:V41"/>
    <mergeCell ref="W41:Y41"/>
    <mergeCell ref="Z41:AB41"/>
    <mergeCell ref="AC41:AE41"/>
    <mergeCell ref="D42:G42"/>
    <mergeCell ref="H42:J42"/>
    <mergeCell ref="L42:O42"/>
    <mergeCell ref="P42:S42"/>
    <mergeCell ref="T42:V42"/>
    <mergeCell ref="W42:Y42"/>
    <mergeCell ref="Z42:AB42"/>
    <mergeCell ref="AC42:AE42"/>
    <mergeCell ref="D43:G43"/>
    <mergeCell ref="H43:J43"/>
    <mergeCell ref="L43:O43"/>
    <mergeCell ref="P43:S43"/>
    <mergeCell ref="T43:V43"/>
    <mergeCell ref="W43:Y43"/>
    <mergeCell ref="Z43:AB43"/>
    <mergeCell ref="AC43:AE43"/>
    <mergeCell ref="D44:G44"/>
    <mergeCell ref="H44:J44"/>
    <mergeCell ref="L44:O44"/>
    <mergeCell ref="P44:S44"/>
    <mergeCell ref="T44:V44"/>
    <mergeCell ref="W44:Y44"/>
    <mergeCell ref="Z44:AB44"/>
    <mergeCell ref="AC44:AE44"/>
    <mergeCell ref="D45:G45"/>
    <mergeCell ref="H45:J45"/>
    <mergeCell ref="L45:O45"/>
    <mergeCell ref="P45:S45"/>
    <mergeCell ref="T45:V45"/>
    <mergeCell ref="W45:Y45"/>
    <mergeCell ref="Z45:AB45"/>
    <mergeCell ref="AC45:AE45"/>
    <mergeCell ref="D46:G46"/>
    <mergeCell ref="H46:J46"/>
    <mergeCell ref="L46:O46"/>
    <mergeCell ref="P46:S46"/>
    <mergeCell ref="T46:V46"/>
    <mergeCell ref="W46:Y46"/>
    <mergeCell ref="Z46:AB46"/>
    <mergeCell ref="AC46:AE46"/>
    <mergeCell ref="D47:G47"/>
    <mergeCell ref="H47:J47"/>
    <mergeCell ref="L47:O47"/>
    <mergeCell ref="P47:S47"/>
    <mergeCell ref="T47:V47"/>
    <mergeCell ref="W47:Y47"/>
    <mergeCell ref="Z47:AB47"/>
    <mergeCell ref="AC47:AE47"/>
    <mergeCell ref="D48:G48"/>
    <mergeCell ref="H48:J48"/>
    <mergeCell ref="L48:O48"/>
    <mergeCell ref="P48:S48"/>
    <mergeCell ref="T48:V48"/>
    <mergeCell ref="W48:Y48"/>
    <mergeCell ref="Z48:AB48"/>
    <mergeCell ref="AC48:AE48"/>
    <mergeCell ref="D49:G49"/>
    <mergeCell ref="H49:J49"/>
    <mergeCell ref="L49:O49"/>
    <mergeCell ref="P49:S49"/>
    <mergeCell ref="T49:V49"/>
    <mergeCell ref="W49:Y49"/>
    <mergeCell ref="Z49:AB49"/>
    <mergeCell ref="AC49:AE49"/>
    <mergeCell ref="D50:G50"/>
    <mergeCell ref="H50:J50"/>
    <mergeCell ref="L50:O50"/>
    <mergeCell ref="P50:S50"/>
    <mergeCell ref="T50:V50"/>
    <mergeCell ref="W50:Y50"/>
    <mergeCell ref="Z50:AB50"/>
    <mergeCell ref="AC50:AE50"/>
    <mergeCell ref="D51:G51"/>
    <mergeCell ref="H51:K51"/>
    <mergeCell ref="L51:O51"/>
    <mergeCell ref="P51:S51"/>
    <mergeCell ref="T51:V51"/>
    <mergeCell ref="W51:Y51"/>
    <mergeCell ref="Z51:AB51"/>
    <mergeCell ref="AC51:AE51"/>
    <mergeCell ref="D52:K52"/>
    <mergeCell ref="L52:O52"/>
    <mergeCell ref="P52:AE52"/>
    <mergeCell ref="C53:AE54"/>
    <mergeCell ref="C55:AE55"/>
    <mergeCell ref="D56:E57"/>
    <mergeCell ref="F56:G57"/>
    <mergeCell ref="H56:I57"/>
    <mergeCell ref="J56:K57"/>
    <mergeCell ref="L56:M57"/>
    <mergeCell ref="N56:O57"/>
    <mergeCell ref="P56:U56"/>
    <mergeCell ref="V56:AA56"/>
    <mergeCell ref="AB56:AC57"/>
    <mergeCell ref="AD56:AE57"/>
    <mergeCell ref="C56:C57"/>
    <mergeCell ref="P57:R57"/>
    <mergeCell ref="S57:U57"/>
    <mergeCell ref="V57:X57"/>
    <mergeCell ref="Y57:AA57"/>
    <mergeCell ref="D58:E58"/>
    <mergeCell ref="F58:G58"/>
    <mergeCell ref="H58:I58"/>
    <mergeCell ref="J58:K58"/>
    <mergeCell ref="L58:M58"/>
    <mergeCell ref="N58:O58"/>
    <mergeCell ref="P58:R58"/>
    <mergeCell ref="S58:U58"/>
    <mergeCell ref="V58:X58"/>
    <mergeCell ref="Y58:AA58"/>
    <mergeCell ref="AB58:AC58"/>
    <mergeCell ref="AD58:AE58"/>
    <mergeCell ref="F59:G59"/>
    <mergeCell ref="H59:I59"/>
    <mergeCell ref="J59:K59"/>
    <mergeCell ref="L59:M59"/>
    <mergeCell ref="N59:O59"/>
    <mergeCell ref="P59:R59"/>
    <mergeCell ref="S59:U59"/>
    <mergeCell ref="V59:X59"/>
    <mergeCell ref="Y59:AA59"/>
    <mergeCell ref="AB59:AC59"/>
    <mergeCell ref="AD59:AE59"/>
    <mergeCell ref="F60:G60"/>
    <mergeCell ref="H60:I60"/>
    <mergeCell ref="J60:K60"/>
    <mergeCell ref="L60:M60"/>
    <mergeCell ref="N60:O60"/>
    <mergeCell ref="P60:R60"/>
    <mergeCell ref="S60:U60"/>
    <mergeCell ref="V60:X60"/>
    <mergeCell ref="Y60:AA60"/>
    <mergeCell ref="AB60:AC60"/>
    <mergeCell ref="AD60:AE60"/>
    <mergeCell ref="F61:G61"/>
    <mergeCell ref="H61:I61"/>
    <mergeCell ref="J61:K61"/>
    <mergeCell ref="L61:M61"/>
    <mergeCell ref="N61:O61"/>
    <mergeCell ref="P61:R61"/>
    <mergeCell ref="S61:U61"/>
    <mergeCell ref="V61:X61"/>
    <mergeCell ref="Y61:AA61"/>
    <mergeCell ref="AB61:AC61"/>
    <mergeCell ref="AD61:AE61"/>
    <mergeCell ref="F62:G62"/>
    <mergeCell ref="H62:I62"/>
    <mergeCell ref="J62:K62"/>
    <mergeCell ref="L62:M62"/>
    <mergeCell ref="N62:O62"/>
    <mergeCell ref="P62:R62"/>
    <mergeCell ref="S62:U62"/>
    <mergeCell ref="V62:X62"/>
    <mergeCell ref="Y62:AA62"/>
    <mergeCell ref="AB62:AC62"/>
    <mergeCell ref="AD62:AE62"/>
    <mergeCell ref="F63:G63"/>
    <mergeCell ref="H63:I63"/>
    <mergeCell ref="J63:K63"/>
    <mergeCell ref="L63:M63"/>
    <mergeCell ref="N63:O63"/>
    <mergeCell ref="P63:R63"/>
    <mergeCell ref="S63:U63"/>
    <mergeCell ref="V63:X63"/>
    <mergeCell ref="Y63:AA63"/>
    <mergeCell ref="AB63:AC63"/>
    <mergeCell ref="AD63:AE63"/>
    <mergeCell ref="D64:E64"/>
    <mergeCell ref="F64:G64"/>
    <mergeCell ref="H64:I64"/>
    <mergeCell ref="J64:K64"/>
    <mergeCell ref="L64:M64"/>
    <mergeCell ref="N64:O64"/>
    <mergeCell ref="P64:R64"/>
    <mergeCell ref="S64:U64"/>
    <mergeCell ref="V64:X64"/>
    <mergeCell ref="Y64:AA64"/>
    <mergeCell ref="AB64:AC64"/>
    <mergeCell ref="AD64:AE64"/>
    <mergeCell ref="D65:E65"/>
    <mergeCell ref="F65:G65"/>
    <mergeCell ref="H65:I65"/>
    <mergeCell ref="J65:K65"/>
    <mergeCell ref="L65:M65"/>
    <mergeCell ref="N65:O65"/>
    <mergeCell ref="P65:R65"/>
    <mergeCell ref="S65:U65"/>
    <mergeCell ref="V65:X65"/>
    <mergeCell ref="Y65:AA65"/>
    <mergeCell ref="AB65:AC65"/>
    <mergeCell ref="AD65:AE65"/>
    <mergeCell ref="D66:E66"/>
    <mergeCell ref="F66:G66"/>
    <mergeCell ref="H66:I66"/>
    <mergeCell ref="J66:K66"/>
    <mergeCell ref="L66:M66"/>
    <mergeCell ref="N66:O66"/>
    <mergeCell ref="P66:R66"/>
    <mergeCell ref="S66:U66"/>
    <mergeCell ref="V66:X66"/>
    <mergeCell ref="Y66:AA66"/>
    <mergeCell ref="AB66:AC66"/>
    <mergeCell ref="AD66:AE66"/>
    <mergeCell ref="D67:E67"/>
    <mergeCell ref="F67:G67"/>
    <mergeCell ref="H67:I67"/>
    <mergeCell ref="J67:K67"/>
    <mergeCell ref="L67:M67"/>
    <mergeCell ref="N67:O67"/>
    <mergeCell ref="P67:R67"/>
    <mergeCell ref="S67:U67"/>
    <mergeCell ref="V67:X67"/>
    <mergeCell ref="Y67:AA67"/>
    <mergeCell ref="AB67:AC67"/>
    <mergeCell ref="AD67:AE67"/>
    <mergeCell ref="D68:U68"/>
    <mergeCell ref="V68:X68"/>
    <mergeCell ref="Y68:AA68"/>
    <mergeCell ref="AB68:AE68"/>
    <mergeCell ref="C73:AE73"/>
    <mergeCell ref="D74:E74"/>
    <mergeCell ref="F74:H74"/>
    <mergeCell ref="I74:K74"/>
    <mergeCell ref="L74:M74"/>
    <mergeCell ref="N74:P74"/>
    <mergeCell ref="Q74:S74"/>
    <mergeCell ref="T74:W74"/>
    <mergeCell ref="X74:AA74"/>
    <mergeCell ref="AB74:AE74"/>
    <mergeCell ref="D75:E75"/>
    <mergeCell ref="F75:H75"/>
    <mergeCell ref="I75:K75"/>
    <mergeCell ref="L75:M75"/>
    <mergeCell ref="N75:P75"/>
    <mergeCell ref="Q75:S75"/>
    <mergeCell ref="T75:W75"/>
    <mergeCell ref="X75:AA75"/>
    <mergeCell ref="AB75:AE75"/>
    <mergeCell ref="D76:E76"/>
    <mergeCell ref="F76:H76"/>
    <mergeCell ref="I76:K76"/>
    <mergeCell ref="L76:M76"/>
    <mergeCell ref="N76:P76"/>
    <mergeCell ref="Q76:S76"/>
    <mergeCell ref="T76:W76"/>
    <mergeCell ref="X76:AA76"/>
    <mergeCell ref="AB76:AE76"/>
    <mergeCell ref="D77:E77"/>
    <mergeCell ref="F77:H77"/>
    <mergeCell ref="I77:K77"/>
    <mergeCell ref="L77:M77"/>
    <mergeCell ref="N77:P77"/>
    <mergeCell ref="Q77:S77"/>
    <mergeCell ref="T77:W77"/>
    <mergeCell ref="X77:AA77"/>
    <mergeCell ref="AB77:AE77"/>
    <mergeCell ref="D78:M78"/>
    <mergeCell ref="N78:P78"/>
    <mergeCell ref="Q78:S78"/>
    <mergeCell ref="T78:W78"/>
    <mergeCell ref="X78:AA78"/>
    <mergeCell ref="AB78:AE78"/>
    <mergeCell ref="C80:AE80"/>
    <mergeCell ref="C81:G81"/>
    <mergeCell ref="H81:N81"/>
    <mergeCell ref="O81:P81"/>
    <mergeCell ref="Q81:T81"/>
    <mergeCell ref="U81:AE81"/>
    <mergeCell ref="C82:G82"/>
    <mergeCell ref="H82:N82"/>
    <mergeCell ref="O82:P82"/>
    <mergeCell ref="Q82:T82"/>
    <mergeCell ref="U82:AE82"/>
    <mergeCell ref="C83:G83"/>
    <mergeCell ref="H83:N83"/>
    <mergeCell ref="O83:P83"/>
    <mergeCell ref="Q83:T83"/>
    <mergeCell ref="U83:AE83"/>
    <mergeCell ref="C84:G84"/>
    <mergeCell ref="H84:N84"/>
    <mergeCell ref="O84:P84"/>
    <mergeCell ref="Q84:T84"/>
    <mergeCell ref="U84:AE84"/>
    <mergeCell ref="C85:G85"/>
    <mergeCell ref="H85:N85"/>
    <mergeCell ref="O85:P85"/>
    <mergeCell ref="Q85:T85"/>
    <mergeCell ref="U85:AE85"/>
    <mergeCell ref="C86:G86"/>
    <mergeCell ref="H86:N86"/>
    <mergeCell ref="O86:P86"/>
    <mergeCell ref="Q86:T86"/>
    <mergeCell ref="U86:AE86"/>
    <mergeCell ref="C87:G87"/>
    <mergeCell ref="H87:N87"/>
    <mergeCell ref="O87:P87"/>
    <mergeCell ref="Q87:T87"/>
    <mergeCell ref="U87:AE87"/>
    <mergeCell ref="C88:G88"/>
    <mergeCell ref="H88:N88"/>
    <mergeCell ref="O88:P88"/>
    <mergeCell ref="Q88:T88"/>
    <mergeCell ref="U88:AE88"/>
    <mergeCell ref="C89:G89"/>
    <mergeCell ref="H89:N89"/>
    <mergeCell ref="O89:P89"/>
    <mergeCell ref="Q89:T89"/>
    <mergeCell ref="U89:AE89"/>
    <mergeCell ref="C90:G90"/>
    <mergeCell ref="H90:N90"/>
    <mergeCell ref="O90:P90"/>
    <mergeCell ref="Q90:T90"/>
    <mergeCell ref="U90:AE90"/>
    <mergeCell ref="C91:G91"/>
    <mergeCell ref="H91:N91"/>
    <mergeCell ref="O91:P91"/>
    <mergeCell ref="Q91:T91"/>
    <mergeCell ref="U91:AE91"/>
    <mergeCell ref="C92:G92"/>
    <mergeCell ref="H92:N92"/>
    <mergeCell ref="O92:P92"/>
    <mergeCell ref="Q92:T92"/>
    <mergeCell ref="U92:AE92"/>
    <mergeCell ref="C93:G93"/>
    <mergeCell ref="H93:N93"/>
    <mergeCell ref="O93:P93"/>
    <mergeCell ref="Q93:T93"/>
    <mergeCell ref="U93:AE93"/>
    <mergeCell ref="C94:G94"/>
    <mergeCell ref="H94:N94"/>
    <mergeCell ref="O94:P94"/>
    <mergeCell ref="Q94:T94"/>
    <mergeCell ref="U94:AE94"/>
    <mergeCell ref="B99:AF99"/>
    <mergeCell ref="W109:AA109"/>
    <mergeCell ref="D110:L110"/>
  </mergeCells>
  <conditionalFormatting sqref="H17:S17">
    <cfRule type="containsBlanks" dxfId="0" priority="1" operator="containsBlanks">
      <formula>LEN(TRIM(H17))=0</formula>
    </cfRule>
  </conditionalFormatting>
  <printOptions horizont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5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293"/>
  <sheetViews>
    <sheetView workbookViewId="0" showGridLines="0" zoomScale="70" zoomScaleNormal="70" view="pageBreakPreview">
      <selection activeCell="AC10" sqref="AC10"/>
    </sheetView>
  </sheetViews>
  <sheetFormatPr defaultRowHeight="14.45" outlineLevelRow="0" outlineLevelCol="0" x14ac:dyDescent="0" defaultColWidth="9.140625" customHeight="1"/>
  <cols>
    <col min="1" max="1" width="1.5703125" customWidth="1"/>
    <col min="2" max="2" width="1.7109375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6" width="5.7109375" customWidth="1"/>
    <col min="27" max="27" width="5.28515625" customWidth="1"/>
    <col min="28" max="28" width="6.42578125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4" max="34" width="9.140625" customWidth="1"/>
    <col min="35" max="35" width="4.5703125" hidden="1" customWidth="1"/>
    <col min="36" max="36" width="15.28515625" hidden="1" customWidth="1"/>
    <col min="37" max="37" width="4" hidden="1" customWidth="1"/>
    <col min="38" max="38" width="58.7109375" hidden="1" customWidth="1"/>
    <col min="39" max="39" width="76.7109375" hidden="1" customWidth="1"/>
    <col min="40" max="40" width="116.5703125" style="20" hidden="1" customWidth="1"/>
    <col min="41" max="41" width="9.140625" customWidth="1"/>
  </cols>
  <sheetData>
    <row r="1" ht="8.25" customHeight="1" x14ac:dyDescent="0.25"/>
    <row r="2" ht="9.95" customHeight="1" spans="2:35" x14ac:dyDescent="0.25"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3"/>
      <c r="AI2" s="143">
        <v>20</v>
      </c>
    </row>
    <row r="3" ht="30" customHeight="1" spans="2:40" x14ac:dyDescent="0.25">
      <c r="B3" s="24"/>
      <c r="C3" s="144"/>
      <c r="D3" s="22"/>
      <c r="E3" s="145"/>
      <c r="F3" s="146" t="s">
        <v>104</v>
      </c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7"/>
      <c r="AF3" s="28"/>
      <c r="AI3" s="29">
        <v>25</v>
      </c>
      <c r="AJ3" s="29" t="s">
        <v>105</v>
      </c>
      <c r="AK3" s="29" t="s">
        <v>106</v>
      </c>
      <c r="AL3" s="29" t="s">
        <v>107</v>
      </c>
      <c r="AM3" s="29" t="s">
        <v>108</v>
      </c>
      <c r="AN3" s="20" t="s">
        <v>109</v>
      </c>
    </row>
    <row r="4" ht="18" customHeight="1" spans="2:73" x14ac:dyDescent="0.25">
      <c r="B4" s="24"/>
      <c r="C4" s="148"/>
      <c r="D4" s="30"/>
      <c r="E4" s="149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1"/>
      <c r="AF4" s="152"/>
      <c r="AH4" s="29"/>
      <c r="AI4" s="29">
        <v>30</v>
      </c>
      <c r="AJ4" s="29" t="s">
        <v>110</v>
      </c>
      <c r="AK4" s="29" t="s">
        <v>111</v>
      </c>
      <c r="AL4" s="29" t="s">
        <v>112</v>
      </c>
      <c r="AM4" s="29" t="s">
        <v>113</v>
      </c>
      <c r="AN4" s="29" t="s">
        <v>114</v>
      </c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</row>
    <row r="5" ht="32.25" customHeight="1" spans="2:73" x14ac:dyDescent="0.25">
      <c r="B5" s="24"/>
      <c r="C5" s="153"/>
      <c r="D5" s="127"/>
      <c r="E5" s="154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6"/>
      <c r="AF5" s="152"/>
      <c r="AH5" s="29"/>
      <c r="AI5" s="29">
        <v>32</v>
      </c>
      <c r="AJ5" s="29" t="s">
        <v>115</v>
      </c>
      <c r="AK5" t="s">
        <v>116</v>
      </c>
      <c r="AL5" s="29" t="s">
        <v>117</v>
      </c>
      <c r="AM5" s="29" t="s">
        <v>118</v>
      </c>
      <c r="AN5" s="29" t="s">
        <v>119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</row>
    <row r="6" ht="9.95" customHeight="1" spans="2:73" x14ac:dyDescent="0.25">
      <c r="B6" s="24"/>
      <c r="C6" s="30"/>
      <c r="D6" s="30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33"/>
      <c r="T6" s="133"/>
      <c r="U6" s="133"/>
      <c r="V6" s="133"/>
      <c r="W6" s="133"/>
      <c r="X6" s="158"/>
      <c r="Y6" s="30"/>
      <c r="Z6" s="31"/>
      <c r="AA6" s="31"/>
      <c r="AB6" s="159"/>
      <c r="AC6" s="159"/>
      <c r="AD6" s="159"/>
      <c r="AE6" s="159"/>
      <c r="AF6" s="152"/>
      <c r="AH6" s="29"/>
      <c r="AI6" s="29">
        <v>40</v>
      </c>
      <c r="AK6" s="29" t="s">
        <v>120</v>
      </c>
      <c r="AL6" s="29" t="s">
        <v>121</v>
      </c>
      <c r="AM6" s="29" t="s">
        <v>122</v>
      </c>
      <c r="AN6" s="29" t="s">
        <v>123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</row>
    <row r="7" ht="20.1" customHeight="1" spans="2:73" x14ac:dyDescent="0.25">
      <c r="B7" s="24"/>
      <c r="C7" s="160" t="s">
        <v>124</v>
      </c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2"/>
      <c r="AF7" s="152"/>
      <c r="AH7" s="29"/>
      <c r="AI7" s="29">
        <v>50</v>
      </c>
      <c r="AJ7" s="29" t="s">
        <v>125</v>
      </c>
      <c r="AK7" s="29" t="s">
        <v>126</v>
      </c>
      <c r="AL7" s="29" t="s">
        <v>127</v>
      </c>
      <c r="AM7" s="29" t="s">
        <v>128</v>
      </c>
      <c r="AN7" s="29" t="s">
        <v>129</v>
      </c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</row>
    <row r="8" ht="9.95" customHeight="1" spans="2:73" x14ac:dyDescent="0.25">
      <c r="B8" s="24"/>
      <c r="C8" s="129"/>
      <c r="D8" s="1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52"/>
      <c r="AH8" s="29"/>
      <c r="AI8" s="29">
        <v>60</v>
      </c>
      <c r="AJ8" s="29" t="s">
        <v>130</v>
      </c>
      <c r="AK8" s="29" t="s">
        <v>131</v>
      </c>
      <c r="AL8" s="29" t="s">
        <v>132</v>
      </c>
      <c r="AM8" s="29" t="s">
        <v>133</v>
      </c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</row>
    <row r="9" ht="20.1" customHeight="1" spans="2:73" x14ac:dyDescent="0.25">
      <c r="B9" s="24"/>
      <c r="C9" s="163" t="s">
        <v>134</v>
      </c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5"/>
      <c r="Q9" s="166"/>
      <c r="R9" s="167" t="s">
        <v>135</v>
      </c>
      <c r="S9" s="168"/>
      <c r="T9" s="168"/>
      <c r="U9" s="168"/>
      <c r="V9" s="168"/>
      <c r="W9" s="169"/>
      <c r="X9" s="101"/>
      <c r="Y9" s="167" t="s">
        <v>136</v>
      </c>
      <c r="Z9" s="168"/>
      <c r="AA9" s="168"/>
      <c r="AB9" s="169"/>
      <c r="AC9" s="170" t="s">
        <v>137</v>
      </c>
      <c r="AD9" s="171"/>
      <c r="AE9" s="172"/>
      <c r="AF9" s="152"/>
      <c r="AH9" s="29"/>
      <c r="AI9" s="29">
        <v>63</v>
      </c>
      <c r="AK9" s="29" t="s">
        <v>138</v>
      </c>
      <c r="AL9" s="29" t="s">
        <v>139</v>
      </c>
      <c r="AM9" s="29" t="s">
        <v>140</v>
      </c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</row>
    <row r="10" ht="20.1" customHeight="1" spans="2:73" x14ac:dyDescent="0.25">
      <c r="B10" s="24"/>
      <c r="C10" s="173" t="s">
        <v>141</v>
      </c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5"/>
      <c r="Q10" s="176"/>
      <c r="R10" s="177" t="s">
        <v>142</v>
      </c>
      <c r="S10" s="178"/>
      <c r="T10" s="178"/>
      <c r="U10" s="178"/>
      <c r="V10" s="178"/>
      <c r="W10" s="179"/>
      <c r="X10" s="101"/>
      <c r="Y10" s="180" t="s">
        <v>143</v>
      </c>
      <c r="Z10" s="181"/>
      <c r="AA10" s="181"/>
      <c r="AB10" s="182"/>
      <c r="AC10" s="183">
        <v>45260</v>
      </c>
      <c r="AD10" s="171"/>
      <c r="AE10" s="172"/>
      <c r="AF10" s="152"/>
      <c r="AH10" s="29"/>
      <c r="AI10" s="29">
        <v>70</v>
      </c>
      <c r="AJ10" s="29">
        <v>127</v>
      </c>
      <c r="AK10" s="29"/>
      <c r="AL10" s="29" t="s">
        <v>144</v>
      </c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</row>
    <row r="11" ht="9.95" customHeight="1" spans="2:73" x14ac:dyDescent="0.25">
      <c r="B11" s="24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76"/>
      <c r="R11" s="137"/>
      <c r="S11" s="137"/>
      <c r="T11" s="137"/>
      <c r="U11" s="137"/>
      <c r="V11" s="137"/>
      <c r="W11" s="137"/>
      <c r="X11" s="101"/>
      <c r="Y11" s="30"/>
      <c r="Z11" s="136"/>
      <c r="AA11" s="136"/>
      <c r="AB11" s="184"/>
      <c r="AC11" s="184"/>
      <c r="AD11" s="184"/>
      <c r="AE11" s="184"/>
      <c r="AF11" s="152"/>
      <c r="AH11" s="29"/>
      <c r="AI11" s="29">
        <v>80</v>
      </c>
      <c r="AJ11" s="29">
        <v>220</v>
      </c>
      <c r="AK11" s="29"/>
      <c r="AL11" s="29"/>
      <c r="AM11" s="29" t="s">
        <v>145</v>
      </c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</row>
    <row r="12" ht="19.5" customHeight="1" spans="2:73" x14ac:dyDescent="0.25">
      <c r="B12" s="24"/>
      <c r="C12" s="163" t="s">
        <v>146</v>
      </c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5"/>
      <c r="Q12" s="176"/>
      <c r="R12" s="163" t="s">
        <v>147</v>
      </c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5"/>
      <c r="AF12" s="152"/>
      <c r="AH12" s="29"/>
      <c r="AI12" s="29">
        <v>100</v>
      </c>
      <c r="AJ12" s="29">
        <v>380</v>
      </c>
      <c r="AK12" s="29"/>
      <c r="AL12" s="29" t="s">
        <v>148</v>
      </c>
      <c r="AM12" s="29" t="s">
        <v>149</v>
      </c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</row>
    <row r="13" ht="20.1" customHeight="1" spans="2:73" x14ac:dyDescent="0.25">
      <c r="B13" s="24"/>
      <c r="C13" s="173" t="s">
        <v>150</v>
      </c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5"/>
      <c r="Q13" s="176"/>
      <c r="R13" s="185" t="s">
        <v>151</v>
      </c>
      <c r="S13" s="186"/>
      <c r="T13" s="170" t="s">
        <v>152</v>
      </c>
      <c r="U13" s="171"/>
      <c r="V13" s="171"/>
      <c r="W13" s="171"/>
      <c r="X13" s="171"/>
      <c r="Y13" s="172"/>
      <c r="Z13" s="185" t="s">
        <v>153</v>
      </c>
      <c r="AA13" s="186"/>
      <c r="AB13" s="170"/>
      <c r="AC13" s="171"/>
      <c r="AD13" s="171"/>
      <c r="AE13" s="172"/>
      <c r="AF13" s="152"/>
      <c r="AH13" s="29"/>
      <c r="AI13" s="29">
        <v>125</v>
      </c>
      <c r="AJ13" s="29" t="s">
        <v>154</v>
      </c>
      <c r="AK13" s="29"/>
      <c r="AL13" s="29" t="s">
        <v>155</v>
      </c>
      <c r="AM13" s="29" t="s">
        <v>156</v>
      </c>
      <c r="AN13" s="20" t="s">
        <v>157</v>
      </c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</row>
    <row r="14" ht="9.95" customHeight="1" spans="2:73" x14ac:dyDescent="0.25">
      <c r="B14" s="24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76"/>
      <c r="R14" s="187"/>
      <c r="S14" s="187"/>
      <c r="T14" s="187"/>
      <c r="U14" s="187"/>
      <c r="V14" s="188"/>
      <c r="W14" s="188"/>
      <c r="X14" s="188"/>
      <c r="Y14" s="188"/>
      <c r="Z14" s="188"/>
      <c r="AA14" s="187"/>
      <c r="AB14" s="187"/>
      <c r="AC14" s="187"/>
      <c r="AD14" s="187"/>
      <c r="AE14" s="187"/>
      <c r="AF14" s="152"/>
      <c r="AH14" s="29"/>
      <c r="AI14" s="29">
        <v>150</v>
      </c>
      <c r="AJ14" s="29" t="s">
        <v>158</v>
      </c>
      <c r="AK14" s="29"/>
      <c r="AL14" s="29" t="s">
        <v>159</v>
      </c>
      <c r="AM14" s="29" t="s">
        <v>160</v>
      </c>
      <c r="AN14" s="20" t="s">
        <v>161</v>
      </c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</row>
    <row r="15" ht="20.1" customHeight="1" spans="2:73" x14ac:dyDescent="0.25">
      <c r="B15" s="24"/>
      <c r="C15" s="189" t="s">
        <v>162</v>
      </c>
      <c r="D15" s="190" t="s">
        <v>163</v>
      </c>
      <c r="E15" s="191"/>
      <c r="F15" s="30"/>
      <c r="G15" s="192" t="s">
        <v>164</v>
      </c>
      <c r="H15" s="192"/>
      <c r="I15" s="193" t="s">
        <v>165</v>
      </c>
      <c r="J15" s="193"/>
      <c r="K15" s="193"/>
      <c r="L15" s="193"/>
      <c r="M15" s="30"/>
      <c r="N15" s="192" t="s">
        <v>166</v>
      </c>
      <c r="O15" s="192"/>
      <c r="P15" s="192"/>
      <c r="Q15" s="194" t="s">
        <v>116</v>
      </c>
      <c r="R15" s="195"/>
      <c r="S15" s="101"/>
      <c r="T15" s="196" t="s">
        <v>167</v>
      </c>
      <c r="U15" s="197"/>
      <c r="V15" s="198" t="s">
        <v>168</v>
      </c>
      <c r="W15" s="199"/>
      <c r="X15" s="199"/>
      <c r="Y15" s="199"/>
      <c r="Z15" s="199"/>
      <c r="AA15" s="199"/>
      <c r="AB15" s="199"/>
      <c r="AC15" s="199"/>
      <c r="AD15" s="199"/>
      <c r="AE15" s="200"/>
      <c r="AF15" s="152"/>
      <c r="AH15" s="29"/>
      <c r="AI15" s="29">
        <v>175</v>
      </c>
      <c r="AJ15" s="29"/>
      <c r="AK15" s="29"/>
      <c r="AL15" s="29" t="s">
        <v>169</v>
      </c>
      <c r="AM15" s="29" t="s">
        <v>170</v>
      </c>
      <c r="AN15" s="29" t="s">
        <v>171</v>
      </c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</row>
    <row r="16" ht="9.95" customHeight="1" spans="2:73" x14ac:dyDescent="0.25">
      <c r="B16" s="24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76"/>
      <c r="R16" s="187"/>
      <c r="S16" s="187"/>
      <c r="T16" s="187"/>
      <c r="U16" s="187"/>
      <c r="V16" s="188"/>
      <c r="W16" s="188"/>
      <c r="X16" s="188"/>
      <c r="Y16" s="188"/>
      <c r="Z16" s="188"/>
      <c r="AA16" s="187"/>
      <c r="AB16" s="187"/>
      <c r="AC16" s="187"/>
      <c r="AD16" s="187"/>
      <c r="AE16" s="187"/>
      <c r="AF16" s="152"/>
      <c r="AH16" s="29"/>
      <c r="AI16" s="29">
        <v>200</v>
      </c>
      <c r="AJ16" s="29"/>
      <c r="AK16" s="29"/>
      <c r="AL16" s="29"/>
      <c r="AM16" s="29" t="s">
        <v>172</v>
      </c>
      <c r="AN16" s="29" t="s">
        <v>173</v>
      </c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</row>
    <row r="17" ht="20.25" customHeight="1" spans="2:73" x14ac:dyDescent="0.25">
      <c r="B17" s="24"/>
      <c r="C17" s="201" t="s">
        <v>174</v>
      </c>
      <c r="D17" s="201"/>
      <c r="E17" s="201"/>
      <c r="F17" s="202" t="s">
        <v>175</v>
      </c>
      <c r="G17" s="202"/>
      <c r="H17" s="202"/>
      <c r="I17" s="202"/>
      <c r="J17" s="202"/>
      <c r="K17" s="202"/>
      <c r="L17" s="202"/>
      <c r="M17" s="136"/>
      <c r="N17" s="133">
        <f>IF(F17="Orçamento Estimado", "Potência Geração","")</f>
      </c>
      <c r="O17" s="133"/>
      <c r="P17" s="133"/>
      <c r="Q17" s="203"/>
      <c r="R17" s="204">
        <f>IF(F17="Orçamento Estimado", "kW","")</f>
      </c>
      <c r="S17" s="187"/>
      <c r="T17" s="192" t="s">
        <v>176</v>
      </c>
      <c r="U17" s="192"/>
      <c r="V17" s="192"/>
      <c r="W17" s="192"/>
      <c r="X17" s="192"/>
      <c r="Y17" s="192"/>
      <c r="Z17" s="205">
        <v>11517621</v>
      </c>
      <c r="AA17" s="205"/>
      <c r="AB17" s="205"/>
      <c r="AC17" s="205"/>
      <c r="AD17" s="205"/>
      <c r="AE17" s="205"/>
      <c r="AF17" s="152"/>
      <c r="AH17" s="29"/>
      <c r="AI17" s="29"/>
      <c r="AJ17" s="29"/>
      <c r="AK17" s="29"/>
      <c r="AL17" s="29"/>
      <c r="AM17" s="29" t="s">
        <v>177</v>
      </c>
      <c r="AN17" s="29" t="s">
        <v>178</v>
      </c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</row>
    <row r="18" ht="9.95" customHeight="1" spans="2:73" x14ac:dyDescent="0.25">
      <c r="B18" s="24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76"/>
      <c r="R18" s="187"/>
      <c r="S18" s="187"/>
      <c r="T18" s="187"/>
      <c r="U18" s="187"/>
      <c r="V18" s="188"/>
      <c r="W18" s="188"/>
      <c r="X18" s="188"/>
      <c r="Y18" s="188"/>
      <c r="Z18" s="188"/>
      <c r="AA18" s="187"/>
      <c r="AB18" s="187"/>
      <c r="AC18" s="187"/>
      <c r="AD18" s="187"/>
      <c r="AE18" s="187"/>
      <c r="AF18" s="152"/>
      <c r="AH18" s="29"/>
      <c r="AI18" s="29"/>
      <c r="AJ18" s="29"/>
      <c r="AK18" s="29"/>
      <c r="AL18" s="29"/>
      <c r="AN18" s="29" t="s">
        <v>179</v>
      </c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</row>
    <row r="19" ht="20.1" customHeight="1" spans="2:73" x14ac:dyDescent="0.25">
      <c r="B19" s="24"/>
      <c r="C19" s="163" t="s">
        <v>180</v>
      </c>
      <c r="D19" s="164"/>
      <c r="E19" s="164"/>
      <c r="F19" s="165"/>
      <c r="G19" s="206" t="s">
        <v>114</v>
      </c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152"/>
      <c r="AH19" s="29"/>
      <c r="AI19" s="29"/>
      <c r="AJ19" s="29"/>
      <c r="AK19" s="29"/>
      <c r="AL19" s="29"/>
      <c r="AM19" s="29" t="s">
        <v>181</v>
      </c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</row>
    <row r="20" ht="9.95" customHeight="1" spans="2:73" x14ac:dyDescent="0.25">
      <c r="B20" s="24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76"/>
      <c r="R20" s="187"/>
      <c r="S20" s="187"/>
      <c r="T20" s="187"/>
      <c r="U20" s="187"/>
      <c r="V20" s="188"/>
      <c r="W20" s="188"/>
      <c r="X20" s="188"/>
      <c r="Y20" s="188"/>
      <c r="Z20" s="188"/>
      <c r="AA20" s="187"/>
      <c r="AB20" s="187"/>
      <c r="AC20" s="187"/>
      <c r="AD20" s="187"/>
      <c r="AE20" s="187"/>
      <c r="AF20" s="152"/>
      <c r="AH20" s="29"/>
      <c r="AI20" s="29"/>
      <c r="AJ20" s="29"/>
      <c r="AK20" s="29"/>
      <c r="AL20" s="29"/>
      <c r="AM20" s="29" t="s">
        <v>182</v>
      </c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</row>
    <row r="21" ht="20.1" customHeight="1" spans="2:73" x14ac:dyDescent="0.25">
      <c r="B21" s="24"/>
      <c r="C21" s="209" t="str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>INFORMAR O NÚMERO DA CONTA CONTRATO</v>
      </c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1"/>
      <c r="V21" s="212"/>
      <c r="W21" s="132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</c>
      <c r="X21" s="132"/>
      <c r="Y21" s="132"/>
      <c r="Z21" s="132"/>
      <c r="AA21" s="132"/>
      <c r="AB21" s="132"/>
      <c r="AC21" s="213"/>
      <c r="AD21" s="213"/>
      <c r="AE21" s="204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</c>
      <c r="AF21" s="152"/>
      <c r="AH21" s="29"/>
      <c r="AI21" s="29"/>
      <c r="AJ21" s="29"/>
      <c r="AK21" s="29"/>
      <c r="AL21" s="29"/>
      <c r="AM21" s="29" t="s">
        <v>183</v>
      </c>
      <c r="AN21" s="20" t="s">
        <v>175</v>
      </c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</row>
    <row r="22" ht="9.95" customHeight="1" spans="2:73" x14ac:dyDescent="0.25">
      <c r="B22" s="24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76"/>
      <c r="R22" s="187"/>
      <c r="S22" s="187"/>
      <c r="T22" s="187"/>
      <c r="U22" s="187"/>
      <c r="V22" s="188"/>
      <c r="W22" s="188"/>
      <c r="X22" s="188"/>
      <c r="Y22" s="188"/>
      <c r="Z22" s="188"/>
      <c r="AA22" s="187"/>
      <c r="AB22" s="187"/>
      <c r="AC22" s="187"/>
      <c r="AD22" s="187"/>
      <c r="AE22" s="187"/>
      <c r="AF22" s="152"/>
      <c r="AH22" s="29"/>
      <c r="AI22" s="29"/>
      <c r="AJ22" s="29"/>
      <c r="AK22" s="29"/>
      <c r="AL22" s="29"/>
      <c r="AM22" s="29" t="s">
        <v>184</v>
      </c>
      <c r="AN22" s="20" t="s">
        <v>185</v>
      </c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</row>
    <row r="23" ht="20.1" customHeight="1" spans="2:73" x14ac:dyDescent="0.25">
      <c r="B23" s="24"/>
      <c r="C23" s="163" t="s">
        <v>186</v>
      </c>
      <c r="D23" s="164"/>
      <c r="E23" s="164"/>
      <c r="F23" s="202" t="s">
        <v>130</v>
      </c>
      <c r="G23" s="136"/>
      <c r="H23" s="192" t="s">
        <v>187</v>
      </c>
      <c r="I23" s="192"/>
      <c r="J23" s="192"/>
      <c r="K23" s="192"/>
      <c r="L23" s="170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2"/>
      <c r="AF23" s="152"/>
      <c r="AH23" s="29"/>
      <c r="AI23" s="29"/>
      <c r="AJ23" s="29"/>
      <c r="AK23" s="29"/>
      <c r="AL23" s="29"/>
      <c r="AM23" s="29"/>
      <c r="BM23" s="29"/>
      <c r="BN23" s="29"/>
      <c r="BO23" s="29"/>
      <c r="BP23" s="29"/>
      <c r="BQ23" s="29"/>
      <c r="BR23" s="29"/>
      <c r="BS23" s="29"/>
      <c r="BT23" s="29"/>
      <c r="BU23" s="29"/>
    </row>
    <row r="24" ht="9.95" customHeight="1" spans="2:73" x14ac:dyDescent="0.25">
      <c r="B24" s="24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76"/>
      <c r="R24" s="187"/>
      <c r="S24" s="187"/>
      <c r="T24" s="187"/>
      <c r="U24" s="187"/>
      <c r="V24" s="188"/>
      <c r="W24" s="188"/>
      <c r="X24" s="188"/>
      <c r="Z24" s="188"/>
      <c r="AA24" s="187"/>
      <c r="AB24" s="187"/>
      <c r="AC24" s="187"/>
      <c r="AD24" s="187"/>
      <c r="AE24" s="187"/>
      <c r="AF24" s="152"/>
      <c r="AH24" s="29"/>
      <c r="AI24" s="29"/>
      <c r="AJ24" s="29"/>
      <c r="AK24" s="29"/>
      <c r="AL24" s="29"/>
      <c r="AM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</row>
    <row r="25" ht="20.1" customHeight="1" spans="2:73" x14ac:dyDescent="0.25">
      <c r="B25" s="24"/>
      <c r="C25" s="163" t="s">
        <v>188</v>
      </c>
      <c r="D25" s="164"/>
      <c r="E25" s="164"/>
      <c r="F25" s="164"/>
      <c r="G25" s="206" t="s">
        <v>107</v>
      </c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8"/>
      <c r="AA25" s="132"/>
      <c r="AB25" s="132"/>
      <c r="AC25" s="132"/>
      <c r="AD25" s="132"/>
      <c r="AE25" s="214"/>
      <c r="AF25" s="28"/>
      <c r="AH25" s="29"/>
      <c r="AI25" s="29"/>
      <c r="AJ25" s="29"/>
      <c r="AK25" s="29"/>
      <c r="AL25" s="29"/>
      <c r="AM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</row>
    <row r="26" ht="9.95" customHeight="1" spans="2:73" x14ac:dyDescent="0.25">
      <c r="B26" s="24"/>
      <c r="C26" s="215"/>
      <c r="D26" s="215"/>
      <c r="E26" s="215"/>
      <c r="F26" s="30"/>
      <c r="G26" s="33"/>
      <c r="H26" s="133"/>
      <c r="I26" s="30"/>
      <c r="J26" s="32"/>
      <c r="K26" s="30"/>
      <c r="L26" s="30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28"/>
      <c r="AH26" s="29"/>
      <c r="AI26" s="29"/>
      <c r="AJ26" s="29"/>
      <c r="AK26" s="29"/>
      <c r="AL26" s="29"/>
      <c r="AM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</row>
    <row r="27" ht="20.1" customHeight="1" spans="2:101" x14ac:dyDescent="0.25">
      <c r="B27" s="24"/>
      <c r="C27" s="163" t="s">
        <v>189</v>
      </c>
      <c r="D27" s="164"/>
      <c r="E27" s="165"/>
      <c r="F27" s="216" t="s">
        <v>107</v>
      </c>
      <c r="G27" s="217"/>
      <c r="H27" s="217"/>
      <c r="I27" s="217"/>
      <c r="J27" s="217"/>
      <c r="K27" s="217"/>
      <c r="L27" s="217"/>
      <c r="M27" s="218"/>
      <c r="O27" s="219" t="s">
        <v>190</v>
      </c>
      <c r="P27" s="220"/>
      <c r="Q27" s="220"/>
      <c r="R27" s="220"/>
      <c r="S27" s="221"/>
      <c r="T27" s="222" t="s">
        <v>105</v>
      </c>
      <c r="U27" s="223"/>
      <c r="V27" s="224"/>
      <c r="X27" s="167" t="s">
        <v>191</v>
      </c>
      <c r="Y27" s="168"/>
      <c r="Z27" s="168"/>
      <c r="AA27" s="168"/>
      <c r="AB27" s="169"/>
      <c r="AC27" s="225">
        <v>220</v>
      </c>
      <c r="AD27" s="226"/>
      <c r="AE27" s="211" t="s">
        <v>192</v>
      </c>
      <c r="AF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</row>
    <row r="28" ht="9.95" customHeight="1" spans="2:73" x14ac:dyDescent="0.25">
      <c r="B28" s="24"/>
      <c r="C28" s="227"/>
      <c r="D28" s="227"/>
      <c r="E28" s="227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</row>
    <row r="29" ht="20.1" customHeight="1" spans="2:73" x14ac:dyDescent="0.25">
      <c r="B29" s="24"/>
      <c r="C29" s="163" t="s">
        <v>193</v>
      </c>
      <c r="D29" s="164"/>
      <c r="E29" s="164"/>
      <c r="F29" s="228">
        <v>7</v>
      </c>
      <c r="G29" s="229"/>
      <c r="H29" s="230" t="s">
        <v>88</v>
      </c>
      <c r="I29" s="135"/>
      <c r="J29" s="231" t="s">
        <v>194</v>
      </c>
      <c r="K29" s="231"/>
      <c r="L29" s="231"/>
      <c r="M29" s="231"/>
      <c r="N29" s="231"/>
      <c r="O29" s="219"/>
      <c r="P29" s="194">
        <v>40</v>
      </c>
      <c r="Q29" s="232"/>
      <c r="R29" s="211" t="s">
        <v>90</v>
      </c>
      <c r="S29" s="135"/>
      <c r="T29" s="219" t="s">
        <v>195</v>
      </c>
      <c r="U29" s="220"/>
      <c r="V29" s="220"/>
      <c r="W29" s="220"/>
      <c r="X29" s="220"/>
      <c r="Y29" s="220"/>
      <c r="Z29" s="220"/>
      <c r="AA29" s="221"/>
      <c r="AB29" s="233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>8</v>
      </c>
      <c r="AC29" s="234"/>
      <c r="AD29" s="234"/>
      <c r="AE29" s="211" t="s">
        <v>88</v>
      </c>
      <c r="AF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</row>
    <row r="30" ht="9.95" customHeight="1" spans="2:73" x14ac:dyDescent="0.25">
      <c r="B30" s="24"/>
      <c r="C30" s="227"/>
      <c r="D30" s="227"/>
      <c r="E30" s="227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</row>
    <row r="31" ht="20.1" customHeight="1" spans="2:73" x14ac:dyDescent="0.25">
      <c r="B31" s="24"/>
      <c r="C31" s="192" t="s">
        <v>196</v>
      </c>
      <c r="D31" s="192"/>
      <c r="E31" s="192"/>
      <c r="F31" s="235" t="s">
        <v>154</v>
      </c>
      <c r="G31" s="235"/>
      <c r="H31" s="235"/>
      <c r="J31" s="231" t="s">
        <v>197</v>
      </c>
      <c r="K31" s="231"/>
      <c r="L31" s="231"/>
      <c r="M31" s="231"/>
      <c r="N31" s="231"/>
      <c r="O31" s="231"/>
      <c r="P31" s="231"/>
      <c r="Q31" s="231"/>
      <c r="R31" s="231"/>
      <c r="S31" s="231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</row>
    <row r="32" ht="9.95" customHeight="1" spans="2:73" x14ac:dyDescent="0.25">
      <c r="B32" s="24"/>
      <c r="C32" s="237"/>
      <c r="D32" s="237"/>
      <c r="E32" s="237"/>
      <c r="F32" s="138"/>
      <c r="G32" s="101"/>
      <c r="H32" s="101"/>
      <c r="I32" s="101"/>
      <c r="J32" s="101"/>
      <c r="K32" s="101"/>
      <c r="L32" s="101"/>
      <c r="M32" s="20"/>
      <c r="N32" s="238"/>
      <c r="O32" s="238"/>
      <c r="P32" s="239"/>
      <c r="Q32" s="239"/>
      <c r="R32" s="239"/>
      <c r="S32" s="239"/>
      <c r="T32" s="239"/>
      <c r="U32" s="239"/>
      <c r="V32" s="239"/>
      <c r="W32" s="132"/>
      <c r="X32" s="132"/>
      <c r="Y32" s="101"/>
      <c r="Z32" s="101"/>
      <c r="AA32" s="101"/>
      <c r="AB32" s="101"/>
      <c r="AC32" s="101"/>
      <c r="AD32" s="240"/>
      <c r="AE32" s="240"/>
      <c r="AF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</row>
    <row r="33" ht="20.1" customHeight="1" spans="2:73" x14ac:dyDescent="0.25">
      <c r="B33" s="24"/>
      <c r="C33" s="241" t="str">
        <f>IF(Q15="PA",AM3,IF(Q15="MA",AM4,IF(Q15="PI",AM5,IF(Q15="AL",AM6,IF(Q15="RS",AM7,IF(Q15="AP",AM8,IF(Q15="GO",AM9,"O conteúdo deste campo será exibido quando for selecionada a UF")))))))</f>
        <v>Preencher as coordenadas do ponto de entrega do acessante em UTM Fuso 22 ou 23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3"/>
      <c r="O33" s="244" t="s">
        <v>198</v>
      </c>
      <c r="P33" s="245">
        <v>-16.641349</v>
      </c>
      <c r="Q33" s="246"/>
      <c r="R33" s="246"/>
      <c r="S33" s="246"/>
      <c r="T33" s="246"/>
      <c r="U33" s="246"/>
      <c r="V33" s="246"/>
      <c r="W33" s="247"/>
      <c r="X33" s="248" t="s">
        <v>199</v>
      </c>
      <c r="Y33" s="249">
        <v>-49.326792</v>
      </c>
      <c r="Z33" s="249"/>
      <c r="AA33" s="249"/>
      <c r="AB33" s="249"/>
      <c r="AC33" s="249"/>
      <c r="AD33" s="249"/>
      <c r="AE33" s="250"/>
      <c r="AF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</row>
    <row r="34" ht="9.95" customHeight="1" spans="2:73" x14ac:dyDescent="0.25">
      <c r="B34" s="24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01"/>
      <c r="S34" s="240"/>
      <c r="T34" s="240"/>
      <c r="U34" s="240"/>
      <c r="V34" s="251"/>
      <c r="W34" s="133"/>
      <c r="X34" s="101"/>
      <c r="Y34" s="101"/>
      <c r="Z34" s="101"/>
      <c r="AA34" s="101"/>
      <c r="AB34" s="101"/>
      <c r="AC34" s="101"/>
      <c r="AD34" s="101"/>
      <c r="AE34" s="101"/>
      <c r="AF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</row>
    <row r="35" ht="20.1" customHeight="1" spans="2:73" x14ac:dyDescent="0.25">
      <c r="B35" s="24"/>
      <c r="C35" s="160" t="s">
        <v>200</v>
      </c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2"/>
      <c r="AF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</row>
    <row r="36" ht="9.95" customHeight="1" spans="2:73" x14ac:dyDescent="0.25">
      <c r="B36" s="24"/>
      <c r="C36" s="129"/>
      <c r="D36" s="1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</row>
    <row r="37" ht="20.1" customHeight="1" spans="2:73" x14ac:dyDescent="0.25">
      <c r="B37" s="24"/>
      <c r="C37" s="163" t="s">
        <v>201</v>
      </c>
      <c r="D37" s="164"/>
      <c r="E37" s="164"/>
      <c r="F37" s="164"/>
      <c r="G37" s="164"/>
      <c r="H37" s="164"/>
      <c r="I37" s="164"/>
      <c r="J37" s="164"/>
      <c r="K37" s="165"/>
      <c r="L37" s="30"/>
      <c r="M37" s="167" t="s">
        <v>202</v>
      </c>
      <c r="N37" s="168"/>
      <c r="O37" s="168"/>
      <c r="P37" s="168"/>
      <c r="Q37" s="168"/>
      <c r="R37" s="168"/>
      <c r="S37" s="168"/>
      <c r="T37" s="168"/>
      <c r="U37" s="169"/>
      <c r="V37" s="101"/>
      <c r="W37" s="167" t="s">
        <v>203</v>
      </c>
      <c r="X37" s="168"/>
      <c r="Y37" s="168"/>
      <c r="Z37" s="168"/>
      <c r="AA37" s="168"/>
      <c r="AB37" s="168"/>
      <c r="AC37" s="168"/>
      <c r="AD37" s="168"/>
      <c r="AE37" s="169"/>
      <c r="AF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</row>
    <row r="38" ht="20.1" customHeight="1" spans="2:73" x14ac:dyDescent="0.25">
      <c r="B38" s="24"/>
      <c r="C38" s="252" t="s">
        <v>204</v>
      </c>
      <c r="D38" s="253"/>
      <c r="E38" s="253"/>
      <c r="F38" s="253"/>
      <c r="G38" s="253"/>
      <c r="H38" s="253"/>
      <c r="I38" s="253"/>
      <c r="J38" s="253"/>
      <c r="K38" s="254"/>
      <c r="L38" s="30"/>
      <c r="M38" s="255" t="s">
        <v>205</v>
      </c>
      <c r="N38" s="256"/>
      <c r="O38" s="256"/>
      <c r="P38" s="256"/>
      <c r="Q38" s="256"/>
      <c r="R38" s="256"/>
      <c r="S38" s="256"/>
      <c r="T38" s="256"/>
      <c r="U38" s="257"/>
      <c r="V38" s="135"/>
      <c r="W38" s="258" t="s">
        <v>206</v>
      </c>
      <c r="X38" s="258"/>
      <c r="Y38" s="178">
        <v>2012721113</v>
      </c>
      <c r="Z38" s="178"/>
      <c r="AA38" s="178"/>
      <c r="AB38" s="178"/>
      <c r="AC38" s="179"/>
      <c r="AD38" s="258" t="s">
        <v>207</v>
      </c>
      <c r="AE38" s="254" t="s">
        <v>116</v>
      </c>
      <c r="AF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</row>
    <row r="39" ht="9.95" customHeight="1" spans="2:73" x14ac:dyDescent="0.25">
      <c r="B39" s="24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</row>
    <row r="40" ht="20.1" customHeight="1" spans="2:73" x14ac:dyDescent="0.25">
      <c r="B40" s="24"/>
      <c r="C40" s="163" t="s">
        <v>167</v>
      </c>
      <c r="D40" s="164"/>
      <c r="E40" s="164"/>
      <c r="F40" s="164"/>
      <c r="G40" s="164"/>
      <c r="H40" s="164"/>
      <c r="I40" s="164"/>
      <c r="J40" s="164"/>
      <c r="K40" s="165"/>
      <c r="L40" s="30"/>
      <c r="M40" s="167" t="s">
        <v>208</v>
      </c>
      <c r="N40" s="168"/>
      <c r="O40" s="168"/>
      <c r="P40" s="168"/>
      <c r="Q40" s="169"/>
      <c r="R40" s="139"/>
      <c r="S40" s="259" t="s">
        <v>209</v>
      </c>
      <c r="T40" s="259"/>
      <c r="U40" s="259"/>
      <c r="V40" s="259"/>
      <c r="W40" s="259"/>
      <c r="X40" s="259"/>
      <c r="Y40" s="30"/>
      <c r="Z40" s="167" t="s">
        <v>210</v>
      </c>
      <c r="AA40" s="168"/>
      <c r="AB40" s="168"/>
      <c r="AC40" s="168"/>
      <c r="AD40" s="168"/>
      <c r="AE40" s="169"/>
      <c r="AF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</row>
    <row r="41" ht="20.1" customHeight="1" spans="2:73" x14ac:dyDescent="0.25">
      <c r="B41" s="24"/>
      <c r="C41" s="260" t="s">
        <v>211</v>
      </c>
      <c r="D41" s="174"/>
      <c r="E41" s="174"/>
      <c r="F41" s="174"/>
      <c r="G41" s="174"/>
      <c r="H41" s="174"/>
      <c r="I41" s="174"/>
      <c r="J41" s="174"/>
      <c r="K41" s="175"/>
      <c r="L41" s="30"/>
      <c r="M41" s="170" t="s">
        <v>212</v>
      </c>
      <c r="N41" s="171"/>
      <c r="O41" s="171"/>
      <c r="P41" s="171"/>
      <c r="Q41" s="172"/>
      <c r="R41" s="139"/>
      <c r="S41" s="193" t="s">
        <v>213</v>
      </c>
      <c r="T41" s="193"/>
      <c r="U41" s="193"/>
      <c r="V41" s="193"/>
      <c r="W41" s="193"/>
      <c r="X41" s="193"/>
      <c r="Y41" s="30"/>
      <c r="Z41" s="170"/>
      <c r="AA41" s="171"/>
      <c r="AB41" s="171"/>
      <c r="AC41" s="171"/>
      <c r="AD41" s="171"/>
      <c r="AE41" s="172"/>
      <c r="AF41" s="28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</row>
    <row r="42" ht="9.95" customHeight="1" spans="2:73" x14ac:dyDescent="0.25">
      <c r="B42" s="24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28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</row>
    <row r="43" ht="20.1" customHeight="1" spans="2:73" x14ac:dyDescent="0.25">
      <c r="B43" s="24"/>
      <c r="C43" s="163" t="s">
        <v>214</v>
      </c>
      <c r="D43" s="164"/>
      <c r="E43" s="164"/>
      <c r="F43" s="164"/>
      <c r="G43" s="164"/>
      <c r="H43" s="164"/>
      <c r="I43" s="164"/>
      <c r="J43" s="164"/>
      <c r="K43" s="165"/>
      <c r="L43" s="30"/>
      <c r="M43" s="192" t="s">
        <v>215</v>
      </c>
      <c r="N43" s="192"/>
      <c r="O43" s="192"/>
      <c r="P43" s="261" t="s">
        <v>216</v>
      </c>
      <c r="Q43" s="261"/>
      <c r="R43" s="261"/>
      <c r="S43" s="261"/>
      <c r="T43" s="261"/>
      <c r="U43" s="261"/>
      <c r="V43" s="261"/>
      <c r="W43" s="261"/>
      <c r="X43" s="261"/>
      <c r="Y43" s="30"/>
      <c r="Z43" s="196" t="s">
        <v>217</v>
      </c>
      <c r="AA43" s="197"/>
      <c r="AB43" s="262" t="s">
        <v>116</v>
      </c>
      <c r="AC43" s="262"/>
      <c r="AD43" s="262"/>
      <c r="AE43" s="262"/>
      <c r="AF43" s="28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</row>
    <row r="44" ht="20.1" customHeight="1" spans="2:73" x14ac:dyDescent="0.25">
      <c r="B44" s="24"/>
      <c r="C44" s="173" t="s">
        <v>218</v>
      </c>
      <c r="D44" s="174"/>
      <c r="E44" s="174"/>
      <c r="F44" s="174"/>
      <c r="G44" s="174"/>
      <c r="H44" s="174"/>
      <c r="I44" s="174"/>
      <c r="J44" s="174"/>
      <c r="K44" s="175"/>
      <c r="L44" s="30"/>
      <c r="M44" s="201" t="s">
        <v>219</v>
      </c>
      <c r="N44" s="201"/>
      <c r="O44" s="201"/>
      <c r="P44" s="261" t="s">
        <v>220</v>
      </c>
      <c r="Q44" s="261"/>
      <c r="R44" s="261"/>
      <c r="S44" s="261"/>
      <c r="T44" s="261"/>
      <c r="U44" s="261"/>
      <c r="V44" s="261"/>
      <c r="W44" s="261"/>
      <c r="X44" s="261"/>
      <c r="Y44" s="30"/>
      <c r="Z44" s="201" t="s">
        <v>162</v>
      </c>
      <c r="AA44" s="201"/>
      <c r="AB44" s="190" t="s">
        <v>221</v>
      </c>
      <c r="AC44" s="263"/>
      <c r="AD44" s="263"/>
      <c r="AE44" s="191"/>
      <c r="AF44" s="28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</row>
    <row r="45" ht="9.95" customHeight="1" spans="2:73" x14ac:dyDescent="0.25">
      <c r="B45" s="24"/>
      <c r="C45" s="133"/>
      <c r="D45" s="264"/>
      <c r="E45" s="264"/>
      <c r="F45" s="265"/>
      <c r="G45" s="265"/>
      <c r="H45" s="265"/>
      <c r="I45" s="265"/>
      <c r="J45" s="240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51"/>
      <c r="AC45" s="251"/>
      <c r="AD45" s="251"/>
      <c r="AE45" s="251"/>
      <c r="AF45" s="28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</row>
    <row r="46" ht="20.1" customHeight="1" spans="2:73" x14ac:dyDescent="0.25">
      <c r="B46" s="24"/>
      <c r="C46" s="160" t="s">
        <v>222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2"/>
      <c r="AF46" s="28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</row>
    <row r="47" ht="20.1" customHeight="1" spans="2:73" x14ac:dyDescent="0.25">
      <c r="B47" s="24"/>
      <c r="C47" s="266" t="s">
        <v>223</v>
      </c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  <c r="V47" s="266"/>
      <c r="W47" s="266"/>
      <c r="X47" s="266"/>
      <c r="Y47" s="266"/>
      <c r="Z47" s="266"/>
      <c r="AA47" s="266"/>
      <c r="AB47" s="266"/>
      <c r="AC47" s="266"/>
      <c r="AD47" s="266"/>
      <c r="AE47" s="266"/>
      <c r="AF47" s="28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</row>
    <row r="48" ht="9.95" customHeight="1" spans="2:73" x14ac:dyDescent="0.25">
      <c r="B48" s="24"/>
      <c r="C48" s="30"/>
      <c r="D48" s="30"/>
      <c r="E48" s="135"/>
      <c r="F48" s="135"/>
      <c r="G48" s="135"/>
      <c r="H48" s="135"/>
      <c r="I48" s="30"/>
      <c r="J48" s="30"/>
      <c r="K48" s="30"/>
      <c r="L48" s="30"/>
      <c r="M48" s="135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135"/>
      <c r="AA48" s="135"/>
      <c r="AB48" s="142"/>
      <c r="AC48" s="142"/>
      <c r="AD48" s="142"/>
      <c r="AE48" s="142"/>
      <c r="AF48" s="28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</row>
    <row r="49" ht="20.1" customHeight="1" spans="2:73" x14ac:dyDescent="0.25">
      <c r="B49" s="24"/>
      <c r="C49" s="163" t="s">
        <v>224</v>
      </c>
      <c r="D49" s="164"/>
      <c r="E49" s="164"/>
      <c r="F49" s="165"/>
      <c r="G49" s="252" t="s">
        <v>145</v>
      </c>
      <c r="H49" s="253"/>
      <c r="I49" s="253"/>
      <c r="J49" s="253"/>
      <c r="K49" s="253"/>
      <c r="L49" s="253"/>
      <c r="M49" s="253"/>
      <c r="N49" s="253"/>
      <c r="O49" s="254"/>
      <c r="Q49" s="163" t="s">
        <v>225</v>
      </c>
      <c r="R49" s="164"/>
      <c r="S49" s="164"/>
      <c r="T49" s="164"/>
      <c r="U49" s="165"/>
      <c r="V49" s="170"/>
      <c r="W49" s="171"/>
      <c r="X49" s="171"/>
      <c r="Y49" s="171"/>
      <c r="Z49" s="171"/>
      <c r="AA49" s="171"/>
      <c r="AB49" s="171"/>
      <c r="AC49" s="171"/>
      <c r="AD49" s="171"/>
      <c r="AE49" s="172"/>
      <c r="AF49" s="28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</row>
    <row r="50" ht="9.95" customHeight="1" spans="2:73" x14ac:dyDescent="0.25">
      <c r="B50" s="24"/>
      <c r="C50" s="30"/>
      <c r="D50" s="30"/>
      <c r="E50" s="135"/>
      <c r="F50" s="135"/>
      <c r="G50" s="135"/>
      <c r="H50" s="135"/>
      <c r="I50" s="30"/>
      <c r="J50" s="30"/>
      <c r="K50" s="30"/>
      <c r="L50" s="30"/>
      <c r="M50" s="135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135"/>
      <c r="AA50" s="135"/>
      <c r="AB50" s="142"/>
      <c r="AC50" s="142"/>
      <c r="AD50" s="142"/>
      <c r="AE50" s="142"/>
      <c r="AF50" s="28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</row>
    <row r="51" ht="20.1" customHeight="1" spans="2:73" x14ac:dyDescent="0.25">
      <c r="B51" s="24"/>
      <c r="C51" s="163" t="s">
        <v>226</v>
      </c>
      <c r="D51" s="164"/>
      <c r="E51" s="164"/>
      <c r="F51" s="165"/>
      <c r="G51" s="252" t="s">
        <v>182</v>
      </c>
      <c r="H51" s="253"/>
      <c r="I51" s="253"/>
      <c r="J51" s="253"/>
      <c r="K51" s="253"/>
      <c r="L51" s="253"/>
      <c r="M51" s="253"/>
      <c r="N51" s="253"/>
      <c r="O51" s="254"/>
      <c r="Q51" s="163" t="s">
        <v>225</v>
      </c>
      <c r="R51" s="164"/>
      <c r="S51" s="164"/>
      <c r="T51" s="164"/>
      <c r="U51" s="165"/>
      <c r="V51" s="170"/>
      <c r="W51" s="171"/>
      <c r="X51" s="171"/>
      <c r="Y51" s="171"/>
      <c r="Z51" s="171"/>
      <c r="AA51" s="171"/>
      <c r="AB51" s="171"/>
      <c r="AC51" s="171"/>
      <c r="AD51" s="171"/>
      <c r="AE51" s="172"/>
      <c r="AF51" s="28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</row>
    <row r="52" ht="9.95" customHeight="1" spans="2:73" x14ac:dyDescent="0.25">
      <c r="B52" s="24"/>
      <c r="C52" s="30"/>
      <c r="D52" s="30"/>
      <c r="E52" s="135"/>
      <c r="F52" s="135"/>
      <c r="G52" s="135"/>
      <c r="H52" s="135"/>
      <c r="I52" s="30"/>
      <c r="J52" s="30"/>
      <c r="K52" s="30"/>
      <c r="L52" s="30"/>
      <c r="M52" s="135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135"/>
      <c r="AA52" s="135"/>
      <c r="AB52" s="142"/>
      <c r="AC52" s="142"/>
      <c r="AD52" s="142"/>
      <c r="AE52" s="142"/>
      <c r="AF52" s="28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</row>
    <row r="53" ht="20.1" customHeight="1" spans="2:73" x14ac:dyDescent="0.25">
      <c r="B53" s="24"/>
      <c r="C53" s="163" t="s">
        <v>227</v>
      </c>
      <c r="D53" s="164"/>
      <c r="E53" s="164"/>
      <c r="F53" s="164"/>
      <c r="G53" s="164"/>
      <c r="H53" s="165"/>
      <c r="I53" s="216" t="s">
        <v>155</v>
      </c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8"/>
      <c r="V53" s="267"/>
      <c r="W53" s="192" t="s">
        <v>228</v>
      </c>
      <c r="X53" s="192"/>
      <c r="Y53" s="192"/>
      <c r="Z53" s="192"/>
      <c r="AA53" s="192"/>
      <c r="AB53" s="192"/>
      <c r="AC53" s="268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>7</v>
      </c>
      <c r="AD53" s="269"/>
      <c r="AE53" s="270" t="s">
        <v>88</v>
      </c>
      <c r="AF53" s="271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</row>
    <row r="54" ht="9.95" customHeight="1" spans="1:73" x14ac:dyDescent="0.25">
      <c r="A54" s="272"/>
      <c r="B54" s="24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67"/>
      <c r="W54" s="238"/>
      <c r="X54" s="238"/>
      <c r="Y54" s="238"/>
      <c r="Z54" s="238"/>
      <c r="AA54" s="238"/>
      <c r="AB54" s="238"/>
      <c r="AC54" s="238"/>
      <c r="AD54" s="238"/>
      <c r="AE54" s="238"/>
      <c r="AF54" s="271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</row>
    <row r="55" ht="20.1" customHeight="1" spans="2:73" x14ac:dyDescent="0.25">
      <c r="B55" s="24"/>
      <c r="C55" s="273" t="str">
        <f>IF(I53="","",IF(I53="AUTOCONSUMO LOCAL","NÃO É NECESSÁRIO PREENCHER A LISTA DE RATEIO","PREENCHER LISTA DE RATEIO DE CLIENTES NA GUIA 2 (OPCIONAL)"))</f>
        <v>PREENCHER LISTA DE RATEIO DE CLIENTES NA GUIA 2 (OPCIONAL)</v>
      </c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67"/>
      <c r="W55" s="192" t="s">
        <v>229</v>
      </c>
      <c r="X55" s="192"/>
      <c r="Y55" s="192"/>
      <c r="Z55" s="192"/>
      <c r="AA55" s="192"/>
      <c r="AB55" s="192"/>
      <c r="AC55" s="268">
        <f>IFERROR(AC21+AC53,"")</f>
        <v>7</v>
      </c>
      <c r="AD55" s="269"/>
      <c r="AE55" s="270" t="s">
        <v>88</v>
      </c>
      <c r="AF55" s="271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</row>
    <row r="56" ht="9.95" customHeight="1" spans="1:73" x14ac:dyDescent="0.25">
      <c r="A56" s="272"/>
      <c r="B56" s="24"/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4"/>
      <c r="Q56" s="272"/>
      <c r="R56" s="272"/>
      <c r="S56" s="272"/>
      <c r="T56" s="272"/>
      <c r="U56" s="272"/>
      <c r="V56" s="267"/>
      <c r="W56" s="238"/>
      <c r="X56" s="238"/>
      <c r="Y56" s="238"/>
      <c r="Z56" s="238"/>
      <c r="AA56" s="238"/>
      <c r="AB56" s="238"/>
      <c r="AC56" s="238"/>
      <c r="AD56" s="238"/>
      <c r="AE56" s="238"/>
      <c r="AF56" s="271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</row>
    <row r="57" ht="20.1" customHeight="1" spans="1:73" x14ac:dyDescent="0.25">
      <c r="A57" s="272"/>
      <c r="B57" s="24"/>
      <c r="C57" s="192" t="s">
        <v>230</v>
      </c>
      <c r="D57" s="192"/>
      <c r="E57" s="192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6"/>
      <c r="W57" s="165" t="s">
        <v>231</v>
      </c>
      <c r="X57" s="192"/>
      <c r="Y57" s="192"/>
      <c r="Z57" s="192"/>
      <c r="AA57" s="192"/>
      <c r="AB57" s="192"/>
      <c r="AC57" s="277"/>
      <c r="AD57" s="278"/>
      <c r="AE57" s="270" t="s">
        <v>88</v>
      </c>
      <c r="AF57" s="28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</row>
    <row r="58" ht="9.95" customHeight="1" spans="2:73" x14ac:dyDescent="0.25">
      <c r="B58" s="24"/>
      <c r="C58" s="126"/>
      <c r="D58" s="102"/>
      <c r="E58" s="102"/>
      <c r="F58" s="102"/>
      <c r="G58" s="102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25"/>
      <c r="Y58" s="125"/>
      <c r="Z58" s="125"/>
      <c r="AA58" s="125"/>
      <c r="AB58" s="125"/>
      <c r="AC58" s="125"/>
      <c r="AD58" s="125"/>
      <c r="AE58" s="125"/>
      <c r="AF58" s="28"/>
      <c r="AG58" s="61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</row>
    <row r="59" ht="20.1" customHeight="1" spans="1:73" x14ac:dyDescent="0.25">
      <c r="A59" s="272"/>
      <c r="B59" s="24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79"/>
      <c r="Q59" s="167" t="s">
        <v>232</v>
      </c>
      <c r="R59" s="168"/>
      <c r="S59" s="168"/>
      <c r="T59" s="169"/>
      <c r="U59" s="280">
        <v>45891</v>
      </c>
      <c r="V59" s="280"/>
      <c r="W59" s="280"/>
      <c r="Y59" s="281" t="str">
        <f>IF(OR(AB29="",AC55=""),"",IF(AC55&lt;=75,IF(AC55&lt;=AB29,"OK: PGT ≤ PD","NOK: PGT &gt; PD"),"PGT ACIMA DO LIMITE DO GRUPO B"))</f>
        <v>OK: PGT ≤ PD</v>
      </c>
      <c r="Z59" s="281"/>
      <c r="AA59" s="281"/>
      <c r="AB59" s="281"/>
      <c r="AC59" s="281"/>
      <c r="AD59" s="281"/>
      <c r="AE59" s="281"/>
      <c r="AF59" s="28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</row>
    <row r="60" ht="9.95" customHeight="1" spans="2:73" x14ac:dyDescent="0.25">
      <c r="B60" s="24"/>
      <c r="C60" s="126"/>
      <c r="D60" s="102"/>
      <c r="E60" s="102"/>
      <c r="F60" s="102"/>
      <c r="G60" s="102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25"/>
      <c r="Y60" s="125"/>
      <c r="Z60" s="125"/>
      <c r="AA60" s="125"/>
      <c r="AB60" s="125"/>
      <c r="AC60" s="125"/>
      <c r="AD60" s="125"/>
      <c r="AE60" s="125"/>
      <c r="AF60" s="28"/>
      <c r="AG60" s="61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</row>
    <row r="61" ht="20.1" customHeight="1" spans="2:73" x14ac:dyDescent="0.25">
      <c r="B61" s="24"/>
      <c r="C61" s="160" t="s">
        <v>233</v>
      </c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2"/>
      <c r="AF61" s="28"/>
      <c r="AG61" s="61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</row>
    <row r="62" ht="9.95" customHeight="1" spans="2:73" x14ac:dyDescent="0.25">
      <c r="B62" s="24"/>
      <c r="C62" s="282"/>
      <c r="D62" s="132"/>
      <c r="E62" s="132"/>
      <c r="F62" s="132"/>
      <c r="G62" s="237"/>
      <c r="H62" s="132"/>
      <c r="I62" s="132"/>
      <c r="J62" s="132"/>
      <c r="K62" s="132"/>
      <c r="L62" s="132"/>
      <c r="M62" s="132"/>
      <c r="N62" s="30"/>
      <c r="O62" s="283"/>
      <c r="P62" s="283"/>
      <c r="Q62" s="283"/>
      <c r="R62" s="283"/>
      <c r="S62" s="283"/>
      <c r="T62" s="283"/>
      <c r="U62" s="283"/>
      <c r="V62" s="283"/>
      <c r="W62" s="284"/>
      <c r="X62" s="284"/>
      <c r="Y62" s="284"/>
      <c r="Z62" s="284"/>
      <c r="AA62" s="284"/>
      <c r="AB62" s="284"/>
      <c r="AC62" s="284"/>
      <c r="AD62" s="284"/>
      <c r="AE62" s="284"/>
      <c r="AF62" s="28"/>
      <c r="AG62" s="61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</row>
    <row r="63" ht="15" customHeight="1" spans="2:73" x14ac:dyDescent="0.25">
      <c r="B63" s="24"/>
      <c r="C63" s="285" t="s">
        <v>234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4"/>
      <c r="V63" s="286" t="s">
        <v>235</v>
      </c>
      <c r="W63" s="286"/>
      <c r="X63" s="286"/>
      <c r="Y63" s="286"/>
      <c r="Z63" s="286"/>
      <c r="AA63" s="286"/>
      <c r="AB63" s="286"/>
      <c r="AC63" s="286"/>
      <c r="AD63" s="286"/>
      <c r="AE63" s="286"/>
      <c r="AF63" s="28"/>
      <c r="AG63" s="61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</row>
    <row r="64" ht="39.95" customHeight="1" spans="2:73" x14ac:dyDescent="0.25">
      <c r="B64" s="24"/>
      <c r="C64" s="287" t="s">
        <v>236</v>
      </c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9"/>
      <c r="V64" s="290"/>
      <c r="W64" s="290"/>
      <c r="X64" s="290"/>
      <c r="Y64" s="290"/>
      <c r="Z64" s="290"/>
      <c r="AA64" s="290"/>
      <c r="AB64" s="290"/>
      <c r="AC64" s="290"/>
      <c r="AD64" s="290"/>
      <c r="AE64" s="290"/>
      <c r="AF64" s="28"/>
      <c r="AG64" s="61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</row>
    <row r="65" ht="20.1" customHeight="1" spans="2:73" x14ac:dyDescent="0.25">
      <c r="B65" s="24"/>
      <c r="C65" s="287" t="s">
        <v>237</v>
      </c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9"/>
      <c r="V65" s="290"/>
      <c r="W65" s="290"/>
      <c r="X65" s="290"/>
      <c r="Y65" s="290"/>
      <c r="Z65" s="290"/>
      <c r="AA65" s="290"/>
      <c r="AB65" s="290"/>
      <c r="AC65" s="290"/>
      <c r="AD65" s="290"/>
      <c r="AE65" s="290"/>
      <c r="AF65" s="28"/>
      <c r="AG65" s="61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</row>
    <row r="66" ht="20.1" customHeight="1" spans="2:73" x14ac:dyDescent="0.25">
      <c r="B66" s="24"/>
      <c r="C66" s="287" t="s">
        <v>238</v>
      </c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9"/>
      <c r="V66" s="290"/>
      <c r="W66" s="290"/>
      <c r="X66" s="290"/>
      <c r="Y66" s="290"/>
      <c r="Z66" s="290"/>
      <c r="AA66" s="290"/>
      <c r="AB66" s="290"/>
      <c r="AC66" s="290"/>
      <c r="AD66" s="290"/>
      <c r="AE66" s="290"/>
      <c r="AF66" s="28"/>
      <c r="AG66" s="61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</row>
    <row r="67" ht="20.1" customHeight="1" spans="2:73" x14ac:dyDescent="0.25">
      <c r="B67" s="24"/>
      <c r="C67" s="287" t="s">
        <v>239</v>
      </c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9"/>
      <c r="V67" s="290"/>
      <c r="W67" s="290"/>
      <c r="X67" s="290"/>
      <c r="Y67" s="290"/>
      <c r="Z67" s="290"/>
      <c r="AA67" s="290"/>
      <c r="AB67" s="290"/>
      <c r="AC67" s="290"/>
      <c r="AD67" s="290"/>
      <c r="AE67" s="290"/>
      <c r="AF67" s="28"/>
      <c r="AG67" s="61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</row>
    <row r="68" ht="30" customHeight="1" spans="2:73" x14ac:dyDescent="0.25">
      <c r="B68" s="24"/>
      <c r="C68" s="287" t="s">
        <v>240</v>
      </c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9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8"/>
      <c r="AG68" s="61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</row>
    <row r="69" ht="20.1" customHeight="1" spans="2:73" x14ac:dyDescent="0.25">
      <c r="B69" s="24"/>
      <c r="C69" s="287" t="s">
        <v>241</v>
      </c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9"/>
      <c r="V69" s="290"/>
      <c r="W69" s="290"/>
      <c r="X69" s="290"/>
      <c r="Y69" s="290"/>
      <c r="Z69" s="290"/>
      <c r="AA69" s="290"/>
      <c r="AB69" s="290"/>
      <c r="AC69" s="290"/>
      <c r="AD69" s="290"/>
      <c r="AE69" s="290"/>
      <c r="AF69" s="28"/>
      <c r="AG69" s="61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</row>
    <row r="70" ht="30" customHeight="1" spans="2:73" x14ac:dyDescent="0.25">
      <c r="B70" s="24"/>
      <c r="C70" s="287" t="s">
        <v>242</v>
      </c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9"/>
      <c r="V70" s="290" t="s">
        <v>243</v>
      </c>
      <c r="W70" s="290"/>
      <c r="X70" s="290"/>
      <c r="Y70" s="290"/>
      <c r="Z70" s="290"/>
      <c r="AA70" s="290"/>
      <c r="AB70" s="290"/>
      <c r="AC70" s="290"/>
      <c r="AD70" s="290"/>
      <c r="AE70" s="290"/>
      <c r="AF70" s="28"/>
      <c r="AG70" s="61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</row>
    <row r="71" ht="30" customHeight="1" spans="2:73" x14ac:dyDescent="0.25">
      <c r="B71" s="24"/>
      <c r="C71" s="287" t="s">
        <v>244</v>
      </c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288"/>
      <c r="U71" s="289"/>
      <c r="V71" s="290" t="s">
        <v>245</v>
      </c>
      <c r="W71" s="290"/>
      <c r="X71" s="290"/>
      <c r="Y71" s="290"/>
      <c r="Z71" s="290"/>
      <c r="AA71" s="290"/>
      <c r="AB71" s="290"/>
      <c r="AC71" s="290"/>
      <c r="AD71" s="290"/>
      <c r="AE71" s="290"/>
      <c r="AF71" s="28"/>
      <c r="AG71" s="61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</row>
    <row r="72" ht="20.1" customHeight="1" spans="2:73" x14ac:dyDescent="0.25">
      <c r="B72" s="24"/>
      <c r="C72" s="287" t="s">
        <v>246</v>
      </c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9"/>
      <c r="V72" s="291" t="s">
        <v>247</v>
      </c>
      <c r="W72" s="292"/>
      <c r="X72" s="292"/>
      <c r="Y72" s="292"/>
      <c r="Z72" s="292"/>
      <c r="AA72" s="292"/>
      <c r="AB72" s="292"/>
      <c r="AC72" s="292"/>
      <c r="AD72" s="292"/>
      <c r="AE72" s="293"/>
      <c r="AF72" s="28"/>
      <c r="AG72" s="61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</row>
    <row r="73" ht="30" customHeight="1" spans="2:73" x14ac:dyDescent="0.25">
      <c r="B73" s="24"/>
      <c r="C73" s="287" t="s">
        <v>248</v>
      </c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9"/>
      <c r="V73" s="291"/>
      <c r="W73" s="292"/>
      <c r="X73" s="292"/>
      <c r="Y73" s="292"/>
      <c r="Z73" s="292"/>
      <c r="AA73" s="292"/>
      <c r="AB73" s="292"/>
      <c r="AC73" s="292"/>
      <c r="AD73" s="292"/>
      <c r="AE73" s="293"/>
      <c r="AF73" s="28"/>
      <c r="AG73" s="61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</row>
    <row r="74" ht="30" customHeight="1" spans="2:73" x14ac:dyDescent="0.25">
      <c r="B74" s="24"/>
      <c r="C74" s="287" t="s">
        <v>249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288"/>
      <c r="U74" s="289"/>
      <c r="V74" s="291"/>
      <c r="W74" s="292"/>
      <c r="X74" s="292"/>
      <c r="Y74" s="292"/>
      <c r="Z74" s="292"/>
      <c r="AA74" s="292"/>
      <c r="AB74" s="292"/>
      <c r="AC74" s="292"/>
      <c r="AD74" s="292"/>
      <c r="AE74" s="293"/>
      <c r="AF74" s="28"/>
      <c r="AG74" s="61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</row>
    <row r="75" ht="54.6" customHeight="1" spans="2:73" x14ac:dyDescent="0.25">
      <c r="B75" s="24"/>
      <c r="C75" s="287" t="s">
        <v>250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288"/>
      <c r="U75" s="289"/>
      <c r="V75" s="291" t="s">
        <v>251</v>
      </c>
      <c r="W75" s="292"/>
      <c r="X75" s="292"/>
      <c r="Y75" s="292"/>
      <c r="Z75" s="292"/>
      <c r="AA75" s="292"/>
      <c r="AB75" s="292"/>
      <c r="AC75" s="292"/>
      <c r="AD75" s="292"/>
      <c r="AE75" s="293"/>
      <c r="AF75" s="28"/>
      <c r="AG75" s="61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</row>
    <row r="76" ht="30" customHeight="1" spans="2:73" x14ac:dyDescent="0.25">
      <c r="B76" s="24"/>
      <c r="C76" s="287" t="s">
        <v>252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288"/>
      <c r="U76" s="289"/>
      <c r="V76" s="291" t="s">
        <v>253</v>
      </c>
      <c r="W76" s="292"/>
      <c r="X76" s="292"/>
      <c r="Y76" s="292"/>
      <c r="Z76" s="292"/>
      <c r="AA76" s="292"/>
      <c r="AB76" s="292"/>
      <c r="AC76" s="292"/>
      <c r="AD76" s="292"/>
      <c r="AE76" s="293"/>
      <c r="AF76" s="28"/>
      <c r="AG76" s="61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</row>
    <row r="77" ht="30" customHeight="1" spans="2:73" x14ac:dyDescent="0.25">
      <c r="B77" s="24"/>
      <c r="C77" s="287" t="s">
        <v>254</v>
      </c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9"/>
      <c r="V77" s="291" t="s">
        <v>255</v>
      </c>
      <c r="W77" s="292"/>
      <c r="X77" s="292"/>
      <c r="Y77" s="292"/>
      <c r="Z77" s="292"/>
      <c r="AA77" s="292"/>
      <c r="AB77" s="292"/>
      <c r="AC77" s="292"/>
      <c r="AD77" s="292"/>
      <c r="AE77" s="293"/>
      <c r="AF77" s="28"/>
      <c r="AG77" s="61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</row>
    <row r="78" ht="20.1" customHeight="1" spans="2:73" x14ac:dyDescent="0.25">
      <c r="B78" s="24"/>
      <c r="C78" s="287" t="s">
        <v>256</v>
      </c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9"/>
      <c r="V78" s="291" t="s">
        <v>257</v>
      </c>
      <c r="W78" s="292"/>
      <c r="X78" s="292"/>
      <c r="Y78" s="292"/>
      <c r="Z78" s="292"/>
      <c r="AA78" s="292"/>
      <c r="AB78" s="292"/>
      <c r="AC78" s="292"/>
      <c r="AD78" s="292"/>
      <c r="AE78" s="293"/>
      <c r="AF78" s="28"/>
      <c r="AG78" s="61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</row>
    <row r="79" ht="39.95" customHeight="1" spans="2:73" x14ac:dyDescent="0.25">
      <c r="B79" s="24"/>
      <c r="C79" s="287" t="s">
        <v>258</v>
      </c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9"/>
      <c r="V79" s="291"/>
      <c r="W79" s="292"/>
      <c r="X79" s="292"/>
      <c r="Y79" s="292"/>
      <c r="Z79" s="292"/>
      <c r="AA79" s="292"/>
      <c r="AB79" s="292"/>
      <c r="AC79" s="292"/>
      <c r="AD79" s="292"/>
      <c r="AE79" s="293"/>
      <c r="AF79" s="28"/>
      <c r="AG79" s="61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</row>
    <row r="80" ht="9.95" customHeight="1" spans="2:33" x14ac:dyDescent="0.25">
      <c r="B80" s="24"/>
      <c r="C80" s="100"/>
      <c r="D80" s="102"/>
      <c r="E80" s="102"/>
      <c r="F80" s="102"/>
      <c r="G80" s="102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33"/>
      <c r="Y80" s="30"/>
      <c r="Z80" s="33"/>
      <c r="AA80" s="30"/>
      <c r="AB80" s="33"/>
      <c r="AC80" s="30"/>
      <c r="AD80" s="33"/>
      <c r="AE80" s="30"/>
      <c r="AF80" s="28"/>
      <c r="AG80" s="139"/>
    </row>
    <row r="81" ht="20.1" customHeight="1" spans="2:73" x14ac:dyDescent="0.25">
      <c r="B81" s="24"/>
      <c r="C81" s="160" t="s">
        <v>259</v>
      </c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2"/>
      <c r="AF81" s="28"/>
      <c r="AG81" s="61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</row>
    <row r="82" ht="9.95" customHeight="1" spans="2:33" x14ac:dyDescent="0.25">
      <c r="B82" s="24"/>
      <c r="C82" s="100"/>
      <c r="D82" s="102"/>
      <c r="E82" s="102"/>
      <c r="F82" s="102"/>
      <c r="G82" s="102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33"/>
      <c r="Y82" s="30"/>
      <c r="Z82" s="33"/>
      <c r="AA82" s="30"/>
      <c r="AB82" s="33"/>
      <c r="AC82" s="30"/>
      <c r="AD82" s="33"/>
      <c r="AE82" s="30"/>
      <c r="AF82" s="28"/>
      <c r="AG82" s="139"/>
    </row>
    <row r="83" ht="30" customHeight="1" spans="2:33" x14ac:dyDescent="0.25">
      <c r="B83" s="24"/>
      <c r="C83" s="294" t="s">
        <v>260</v>
      </c>
      <c r="D83" s="295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95"/>
      <c r="AD83" s="295"/>
      <c r="AE83" s="296"/>
      <c r="AF83" s="28"/>
      <c r="AG83" s="139"/>
    </row>
    <row r="84" ht="30" customHeight="1" spans="2:33" x14ac:dyDescent="0.25">
      <c r="B84" s="24"/>
      <c r="C84" s="297" t="s">
        <v>261</v>
      </c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9"/>
      <c r="AF84" s="28"/>
      <c r="AG84" s="139"/>
    </row>
    <row r="85" ht="30" customHeight="1" spans="2:33" x14ac:dyDescent="0.25">
      <c r="B85" s="24"/>
      <c r="C85" s="300" t="s">
        <v>262</v>
      </c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  <c r="AD85" s="301"/>
      <c r="AE85" s="302"/>
      <c r="AF85" s="28"/>
      <c r="AG85" s="139"/>
    </row>
    <row r="86" ht="9.95" customHeight="1" spans="2:33" x14ac:dyDescent="0.25">
      <c r="B86" s="24"/>
      <c r="C86" s="303"/>
      <c r="D86" s="303"/>
      <c r="E86" s="303"/>
      <c r="F86" s="303"/>
      <c r="G86" s="303"/>
      <c r="H86" s="303"/>
      <c r="I86" s="303"/>
      <c r="J86" s="303"/>
      <c r="K86" s="303"/>
      <c r="L86" s="303"/>
      <c r="M86" s="303"/>
      <c r="N86" s="303"/>
      <c r="O86" s="303"/>
      <c r="P86" s="303"/>
      <c r="Q86" s="303"/>
      <c r="R86" s="303"/>
      <c r="S86" s="303"/>
      <c r="T86" s="303"/>
      <c r="U86" s="303"/>
      <c r="V86" s="303"/>
      <c r="W86" s="303"/>
      <c r="X86" s="303"/>
      <c r="Y86" s="303"/>
      <c r="Z86" s="303"/>
      <c r="AA86" s="303"/>
      <c r="AB86" s="303"/>
      <c r="AC86" s="303"/>
      <c r="AD86" s="303"/>
      <c r="AE86" s="303"/>
      <c r="AF86" s="28"/>
      <c r="AG86" s="139"/>
    </row>
    <row r="87" ht="20.1" customHeight="1" spans="2:33" x14ac:dyDescent="0.25">
      <c r="B87" s="24"/>
      <c r="C87" s="160" t="s">
        <v>263</v>
      </c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2"/>
      <c r="AF87" s="28"/>
      <c r="AG87" s="101"/>
    </row>
    <row r="88" ht="9.95" customHeight="1" spans="2:33" x14ac:dyDescent="0.25">
      <c r="B88" s="24"/>
      <c r="C88" s="282"/>
      <c r="D88" s="132"/>
      <c r="E88" s="132"/>
      <c r="F88" s="132"/>
      <c r="G88" s="237"/>
      <c r="H88" s="132"/>
      <c r="I88" s="132"/>
      <c r="J88" s="132"/>
      <c r="K88" s="132"/>
      <c r="L88" s="132"/>
      <c r="M88" s="132"/>
      <c r="N88" s="30"/>
      <c r="O88" s="283"/>
      <c r="P88" s="283"/>
      <c r="Q88" s="283"/>
      <c r="R88" s="283"/>
      <c r="S88" s="283"/>
      <c r="T88" s="283"/>
      <c r="U88" s="283"/>
      <c r="V88" s="283"/>
      <c r="W88" s="284"/>
      <c r="X88" s="284"/>
      <c r="Y88" s="284"/>
      <c r="Z88" s="284"/>
      <c r="AA88" s="284"/>
      <c r="AB88" s="284"/>
      <c r="AC88" s="284"/>
      <c r="AD88" s="284"/>
      <c r="AE88" s="284"/>
      <c r="AF88" s="28"/>
      <c r="AG88" s="101"/>
    </row>
    <row r="89" ht="20.1" customHeight="1" spans="2:33" x14ac:dyDescent="0.25">
      <c r="B89" s="24"/>
      <c r="C89" s="163" t="s">
        <v>264</v>
      </c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5"/>
      <c r="AD89" s="170" t="s">
        <v>125</v>
      </c>
      <c r="AE89" s="172"/>
      <c r="AF89" s="28"/>
      <c r="AG89" s="101"/>
    </row>
    <row r="90" ht="20.1" customHeight="1" spans="2:33" x14ac:dyDescent="0.25">
      <c r="B90" s="24"/>
      <c r="C90" s="163" t="s">
        <v>265</v>
      </c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5"/>
      <c r="AD90" s="170" t="s">
        <v>125</v>
      </c>
      <c r="AE90" s="172"/>
      <c r="AF90" s="28"/>
      <c r="AG90" s="101"/>
    </row>
    <row r="91" ht="35.1" customHeight="1" spans="2:33" x14ac:dyDescent="0.25">
      <c r="B91" s="24"/>
      <c r="C91" s="219" t="s">
        <v>266</v>
      </c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1"/>
      <c r="AD91" s="170" t="s">
        <v>125</v>
      </c>
      <c r="AE91" s="172"/>
      <c r="AF91" s="28"/>
      <c r="AG91" s="101"/>
    </row>
    <row r="92" ht="20.1" customHeight="1" spans="2:33" x14ac:dyDescent="0.25">
      <c r="B92" s="24"/>
      <c r="C92" s="163" t="s">
        <v>267</v>
      </c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5"/>
      <c r="AF92" s="28"/>
      <c r="AG92" s="101"/>
    </row>
    <row r="93" ht="20.1" customHeight="1" spans="2:33" x14ac:dyDescent="0.25">
      <c r="B93" s="24"/>
      <c r="C93" s="163" t="s">
        <v>268</v>
      </c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5"/>
      <c r="AD93" s="170" t="s">
        <v>125</v>
      </c>
      <c r="AE93" s="172"/>
      <c r="AF93" s="28"/>
      <c r="AG93" s="101"/>
    </row>
    <row r="94" ht="20.1" customHeight="1" spans="2:33" x14ac:dyDescent="0.25">
      <c r="B94" s="24"/>
      <c r="C94" s="219" t="s">
        <v>269</v>
      </c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5"/>
      <c r="AD94" s="170" t="s">
        <v>125</v>
      </c>
      <c r="AE94" s="172"/>
      <c r="AF94" s="28"/>
      <c r="AG94" s="101"/>
    </row>
    <row r="95" ht="20.1" customHeight="1" spans="2:33" x14ac:dyDescent="0.25">
      <c r="B95" s="24"/>
      <c r="C95" s="163" t="s">
        <v>270</v>
      </c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5"/>
      <c r="AD95" s="170" t="s">
        <v>125</v>
      </c>
      <c r="AE95" s="172"/>
      <c r="AF95" s="28"/>
      <c r="AG95" s="101"/>
    </row>
    <row r="96" ht="20.1" customHeight="1" spans="2:33" x14ac:dyDescent="0.25">
      <c r="B96" s="24"/>
      <c r="C96" s="163" t="s">
        <v>271</v>
      </c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5"/>
      <c r="AD96" s="170" t="s">
        <v>125</v>
      </c>
      <c r="AE96" s="172"/>
      <c r="AF96" s="28"/>
      <c r="AG96" s="101"/>
    </row>
    <row r="97" ht="9.95" customHeight="1" spans="2:33" x14ac:dyDescent="0.25">
      <c r="B97" s="24"/>
      <c r="C97" s="100"/>
      <c r="D97" s="102"/>
      <c r="E97" s="102"/>
      <c r="F97" s="102"/>
      <c r="G97" s="102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33"/>
      <c r="Y97" s="30"/>
      <c r="Z97" s="33"/>
      <c r="AA97" s="30"/>
      <c r="AB97" s="33"/>
      <c r="AC97" s="30"/>
      <c r="AD97" s="33"/>
      <c r="AE97" s="30"/>
      <c r="AF97" s="28"/>
      <c r="AG97" s="139"/>
    </row>
    <row r="98" ht="20.1" customHeight="1" spans="2:73" x14ac:dyDescent="0.25">
      <c r="B98" s="24"/>
      <c r="C98" s="160" t="s">
        <v>272</v>
      </c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2"/>
      <c r="AF98" s="28"/>
      <c r="AG98" s="61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</row>
    <row r="99" ht="9.95" customHeight="1" spans="2:33" x14ac:dyDescent="0.25">
      <c r="B99" s="24"/>
      <c r="C99" s="100"/>
      <c r="D99" s="102"/>
      <c r="E99" s="102"/>
      <c r="F99" s="102"/>
      <c r="G99" s="102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33"/>
      <c r="Y99" s="30"/>
      <c r="Z99" s="33"/>
      <c r="AA99" s="30"/>
      <c r="AB99" s="33"/>
      <c r="AC99" s="30"/>
      <c r="AD99" s="33"/>
      <c r="AE99" s="30"/>
      <c r="AF99" s="28"/>
      <c r="AG99" s="139"/>
    </row>
    <row r="100" ht="84.95" customHeight="1" spans="2:33" x14ac:dyDescent="0.25">
      <c r="B100" s="24"/>
      <c r="C100" s="294" t="s">
        <v>273</v>
      </c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  <c r="X100" s="295"/>
      <c r="Y100" s="295"/>
      <c r="Z100" s="295"/>
      <c r="AA100" s="295"/>
      <c r="AB100" s="295"/>
      <c r="AC100" s="295"/>
      <c r="AD100" s="295"/>
      <c r="AE100" s="296"/>
      <c r="AF100" s="28"/>
      <c r="AG100" s="139"/>
    </row>
    <row r="101" ht="48" customHeight="1" spans="2:33" x14ac:dyDescent="0.25">
      <c r="B101" s="24"/>
      <c r="C101" s="304" t="s">
        <v>274</v>
      </c>
      <c r="D101" s="102"/>
      <c r="E101" s="305" t="s">
        <v>275</v>
      </c>
      <c r="F101" s="305"/>
      <c r="G101" s="305"/>
      <c r="H101" s="305"/>
      <c r="I101" s="305"/>
      <c r="J101" s="306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307"/>
      <c r="AF101" s="28"/>
      <c r="AG101" s="139"/>
    </row>
    <row r="102" ht="48" customHeight="1" spans="2:33" x14ac:dyDescent="0.25">
      <c r="B102" s="24"/>
      <c r="C102" s="300" t="s">
        <v>276</v>
      </c>
      <c r="D102" s="301"/>
      <c r="E102" s="308"/>
      <c r="F102" s="308"/>
      <c r="G102" s="308"/>
      <c r="H102" s="308"/>
      <c r="I102" s="308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1"/>
      <c r="AC102" s="301"/>
      <c r="AD102" s="301"/>
      <c r="AE102" s="302"/>
      <c r="AF102" s="28"/>
      <c r="AG102" s="139"/>
    </row>
    <row r="103" ht="9.95" customHeight="1" spans="2:73" x14ac:dyDescent="0.25">
      <c r="B103" s="24"/>
      <c r="C103" s="126"/>
      <c r="D103" s="102"/>
      <c r="E103" s="102"/>
      <c r="F103" s="102"/>
      <c r="G103" s="102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25"/>
      <c r="Y103" s="125"/>
      <c r="Z103" s="125"/>
      <c r="AA103" s="125"/>
      <c r="AB103" s="125"/>
      <c r="AC103" s="125"/>
      <c r="AD103" s="125"/>
      <c r="AE103" s="125"/>
      <c r="AF103" s="28"/>
      <c r="AG103" s="61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</row>
    <row r="104" ht="20.1" customHeight="1" spans="2:73" x14ac:dyDescent="0.25">
      <c r="B104" s="24"/>
      <c r="C104" s="160" t="s">
        <v>277</v>
      </c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2"/>
      <c r="AF104" s="28"/>
      <c r="AG104" s="61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</row>
    <row r="105" spans="2:73" x14ac:dyDescent="0.25">
      <c r="B105" s="24"/>
      <c r="C105" s="309" t="s">
        <v>278</v>
      </c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1"/>
      <c r="O105" s="312" t="s">
        <v>279</v>
      </c>
      <c r="P105" s="313"/>
      <c r="Q105" s="313"/>
      <c r="R105" s="313"/>
      <c r="S105" s="313"/>
      <c r="T105" s="313"/>
      <c r="U105" s="313"/>
      <c r="V105" s="313"/>
      <c r="W105" s="313"/>
      <c r="X105" s="313"/>
      <c r="Y105" s="313"/>
      <c r="Z105" s="313"/>
      <c r="AA105" s="313"/>
      <c r="AB105" s="313"/>
      <c r="AC105" s="313"/>
      <c r="AD105" s="313"/>
      <c r="AE105" s="314"/>
      <c r="AF105" s="28"/>
      <c r="AG105" s="61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</row>
    <row r="106" spans="2:73" x14ac:dyDescent="0.25">
      <c r="B106" s="24"/>
      <c r="C106" s="315" t="s">
        <v>280</v>
      </c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316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  <c r="AA106" s="317"/>
      <c r="AB106" s="317"/>
      <c r="AC106" s="317"/>
      <c r="AD106" s="317"/>
      <c r="AE106" s="318"/>
      <c r="AF106" s="28"/>
      <c r="AG106" s="61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</row>
    <row r="107" spans="2:73" x14ac:dyDescent="0.25">
      <c r="B107" s="24"/>
      <c r="C107" s="315" t="s">
        <v>281</v>
      </c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319"/>
      <c r="O107" s="316"/>
      <c r="P107" s="317"/>
      <c r="Q107" s="317"/>
      <c r="R107" s="317"/>
      <c r="S107" s="317"/>
      <c r="T107" s="317"/>
      <c r="U107" s="317"/>
      <c r="V107" s="317"/>
      <c r="W107" s="317"/>
      <c r="X107" s="317"/>
      <c r="Y107" s="317"/>
      <c r="Z107" s="317"/>
      <c r="AA107" s="317"/>
      <c r="AB107" s="317"/>
      <c r="AC107" s="317"/>
      <c r="AD107" s="317"/>
      <c r="AE107" s="318"/>
      <c r="AF107" s="28"/>
      <c r="AG107" s="61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</row>
    <row r="108" spans="2:73" x14ac:dyDescent="0.25">
      <c r="B108" s="24"/>
      <c r="C108" s="315" t="s">
        <v>282</v>
      </c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319"/>
      <c r="O108" s="316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  <c r="AA108" s="317"/>
      <c r="AB108" s="317"/>
      <c r="AC108" s="317"/>
      <c r="AD108" s="317"/>
      <c r="AE108" s="318"/>
      <c r="AF108" s="28"/>
      <c r="AG108" s="61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</row>
    <row r="109" spans="2:73" x14ac:dyDescent="0.25">
      <c r="B109" s="24"/>
      <c r="C109" s="315" t="s">
        <v>283</v>
      </c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319"/>
      <c r="O109" s="320" t="s">
        <v>284</v>
      </c>
      <c r="P109" s="321"/>
      <c r="Q109" s="321"/>
      <c r="R109" s="321"/>
      <c r="S109" s="321"/>
      <c r="T109" s="138"/>
      <c r="U109" s="322">
        <v>45860</v>
      </c>
      <c r="V109" s="321"/>
      <c r="W109" s="321"/>
      <c r="X109" s="321"/>
      <c r="Y109" s="138"/>
      <c r="Z109" s="321"/>
      <c r="AA109" s="321"/>
      <c r="AB109" s="321"/>
      <c r="AC109" s="321"/>
      <c r="AD109" s="321"/>
      <c r="AE109" s="323"/>
      <c r="AF109" s="28"/>
      <c r="AG109" s="61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</row>
    <row r="110" spans="2:73" x14ac:dyDescent="0.25">
      <c r="B110" s="24"/>
      <c r="C110" s="315" t="s">
        <v>285</v>
      </c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319"/>
      <c r="O110" s="320"/>
      <c r="P110" s="321"/>
      <c r="Q110" s="321"/>
      <c r="R110" s="321"/>
      <c r="S110" s="321"/>
      <c r="T110" s="138"/>
      <c r="U110" s="321"/>
      <c r="V110" s="321"/>
      <c r="W110" s="321"/>
      <c r="X110" s="321"/>
      <c r="Y110" s="138"/>
      <c r="Z110" s="321"/>
      <c r="AA110" s="321"/>
      <c r="AB110" s="321"/>
      <c r="AC110" s="321"/>
      <c r="AD110" s="321"/>
      <c r="AE110" s="323"/>
      <c r="AF110" s="28"/>
      <c r="AG110" s="61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</row>
    <row r="111" spans="2:73" x14ac:dyDescent="0.25">
      <c r="B111" s="24"/>
      <c r="C111" s="315" t="s">
        <v>286</v>
      </c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319"/>
      <c r="O111" s="320"/>
      <c r="P111" s="321"/>
      <c r="Q111" s="321"/>
      <c r="R111" s="321"/>
      <c r="S111" s="321"/>
      <c r="T111" s="138"/>
      <c r="U111" s="321"/>
      <c r="V111" s="321"/>
      <c r="W111" s="321"/>
      <c r="X111" s="321"/>
      <c r="Y111" s="138"/>
      <c r="Z111" s="321"/>
      <c r="AA111" s="321"/>
      <c r="AB111" s="321"/>
      <c r="AC111" s="321"/>
      <c r="AD111" s="321"/>
      <c r="AE111" s="323"/>
      <c r="AF111" s="28"/>
      <c r="AG111" s="61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</row>
    <row r="112" spans="2:73" x14ac:dyDescent="0.25">
      <c r="B112" s="24"/>
      <c r="C112" s="315" t="s">
        <v>287</v>
      </c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319"/>
      <c r="O112" s="320"/>
      <c r="P112" s="321"/>
      <c r="Q112" s="321"/>
      <c r="R112" s="321"/>
      <c r="S112" s="321"/>
      <c r="T112" s="138"/>
      <c r="U112" s="321"/>
      <c r="V112" s="321"/>
      <c r="W112" s="321"/>
      <c r="X112" s="321"/>
      <c r="Y112" s="138"/>
      <c r="Z112" s="321"/>
      <c r="AA112" s="321"/>
      <c r="AB112" s="321"/>
      <c r="AC112" s="321"/>
      <c r="AD112" s="321"/>
      <c r="AE112" s="323"/>
      <c r="AF112" s="28"/>
      <c r="AG112" s="61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</row>
    <row r="113" spans="2:73" x14ac:dyDescent="0.25">
      <c r="B113" s="24"/>
      <c r="C113" s="315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319"/>
      <c r="O113" s="320"/>
      <c r="P113" s="321"/>
      <c r="Q113" s="321"/>
      <c r="R113" s="321"/>
      <c r="S113" s="321"/>
      <c r="T113" s="138"/>
      <c r="U113" s="321"/>
      <c r="V113" s="321"/>
      <c r="W113" s="321"/>
      <c r="X113" s="321"/>
      <c r="Y113" s="138"/>
      <c r="Z113" s="321"/>
      <c r="AA113" s="321"/>
      <c r="AB113" s="321"/>
      <c r="AC113" s="321"/>
      <c r="AD113" s="321"/>
      <c r="AE113" s="323"/>
      <c r="AF113" s="28"/>
      <c r="AG113" s="61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</row>
    <row r="114" ht="9.95" customHeight="1" spans="2:73" x14ac:dyDescent="0.25">
      <c r="B114" s="24"/>
      <c r="C114" s="324" t="s">
        <v>288</v>
      </c>
      <c r="D114" s="317"/>
      <c r="E114" s="317"/>
      <c r="F114" s="317"/>
      <c r="G114" s="317"/>
      <c r="H114" s="317"/>
      <c r="I114" s="317"/>
      <c r="J114" s="317"/>
      <c r="K114" s="317"/>
      <c r="L114" s="317"/>
      <c r="M114" s="317"/>
      <c r="N114" s="325"/>
      <c r="O114" s="326"/>
      <c r="P114" s="327"/>
      <c r="Q114" s="327"/>
      <c r="R114" s="327"/>
      <c r="S114" s="327"/>
      <c r="T114" s="30"/>
      <c r="U114" s="327"/>
      <c r="V114" s="327"/>
      <c r="W114" s="327"/>
      <c r="X114" s="327"/>
      <c r="Y114" s="30"/>
      <c r="Z114" s="327"/>
      <c r="AA114" s="327"/>
      <c r="AB114" s="327"/>
      <c r="AC114" s="327"/>
      <c r="AD114" s="327"/>
      <c r="AE114" s="328"/>
      <c r="AF114" s="28"/>
      <c r="AG114" s="61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</row>
    <row r="115" ht="20.1" customHeight="1" spans="2:73" x14ac:dyDescent="0.25">
      <c r="B115" s="24"/>
      <c r="C115" s="329"/>
      <c r="D115" s="330"/>
      <c r="E115" s="330"/>
      <c r="F115" s="330"/>
      <c r="G115" s="330"/>
      <c r="H115" s="330"/>
      <c r="I115" s="330"/>
      <c r="J115" s="330"/>
      <c r="K115" s="330"/>
      <c r="L115" s="330"/>
      <c r="M115" s="330"/>
      <c r="N115" s="331"/>
      <c r="O115" s="332" t="s">
        <v>289</v>
      </c>
      <c r="P115" s="332"/>
      <c r="Q115" s="332"/>
      <c r="R115" s="332"/>
      <c r="S115" s="332"/>
      <c r="T115" s="333"/>
      <c r="U115" s="332" t="s">
        <v>290</v>
      </c>
      <c r="V115" s="332"/>
      <c r="W115" s="332"/>
      <c r="X115" s="332"/>
      <c r="Y115" s="333"/>
      <c r="Z115" s="332" t="s">
        <v>291</v>
      </c>
      <c r="AA115" s="332"/>
      <c r="AB115" s="332"/>
      <c r="AC115" s="332"/>
      <c r="AD115" s="332"/>
      <c r="AE115" s="334"/>
      <c r="AF115" s="28"/>
      <c r="AG115" s="61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</row>
    <row r="116" ht="9.95" customHeight="1" spans="2:73" x14ac:dyDescent="0.25">
      <c r="B116" s="24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28"/>
      <c r="AG116" s="61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</row>
    <row r="117" ht="30" customHeight="1" spans="2:73" x14ac:dyDescent="0.25">
      <c r="B117" s="128" t="s">
        <v>292</v>
      </c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</row>
    <row r="118" spans="2:73" x14ac:dyDescent="0.25"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</row>
    <row r="119" spans="2:73" x14ac:dyDescent="0.25"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</row>
    <row r="120" spans="2:73" x14ac:dyDescent="0.25"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</row>
    <row r="121" spans="2:73" x14ac:dyDescent="0.25"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</row>
    <row r="122" spans="2:73" x14ac:dyDescent="0.25"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</row>
    <row r="123" spans="2:73" x14ac:dyDescent="0.25"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</row>
    <row r="124" spans="2:73" x14ac:dyDescent="0.25"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</row>
    <row r="125" spans="2:73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</row>
    <row r="126" ht="15.6" customHeight="1" spans="2:73" x14ac:dyDescent="0.25">
      <c r="B126" s="101"/>
      <c r="C126" s="101"/>
      <c r="D126" s="129"/>
      <c r="E126" s="1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101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</row>
    <row r="127" ht="15.6" customHeight="1" spans="2:73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30"/>
      <c r="N127" s="131"/>
      <c r="O127" s="30"/>
      <c r="P127" s="30"/>
      <c r="Q127" s="30"/>
      <c r="R127" s="30"/>
      <c r="S127" s="30"/>
      <c r="T127" s="30"/>
      <c r="U127" s="30"/>
      <c r="V127" s="30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01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</row>
    <row r="128" spans="2:73" x14ac:dyDescent="0.25">
      <c r="B128" s="101"/>
      <c r="C128" s="101"/>
      <c r="D128" s="133"/>
      <c r="E128" s="133"/>
      <c r="F128" s="133"/>
      <c r="G128" s="133"/>
      <c r="H128" s="133"/>
      <c r="I128" s="133"/>
      <c r="J128" s="133"/>
      <c r="K128" s="133"/>
      <c r="L128" s="133"/>
      <c r="M128" s="30"/>
      <c r="N128" s="134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01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</row>
    <row r="129" spans="2:73" x14ac:dyDescent="0.25">
      <c r="B129" s="101"/>
      <c r="C129" s="101"/>
      <c r="D129" s="135"/>
      <c r="E129" s="135"/>
      <c r="F129" s="135"/>
      <c r="G129" s="135"/>
      <c r="H129" s="135"/>
      <c r="I129" s="135"/>
      <c r="J129" s="135"/>
      <c r="K129" s="135"/>
      <c r="L129" s="135"/>
      <c r="M129" s="133"/>
      <c r="N129" s="134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101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</row>
    <row r="130" spans="2:73" x14ac:dyDescent="0.25">
      <c r="B130" s="101"/>
      <c r="C130" s="101"/>
      <c r="D130" s="134"/>
      <c r="E130" s="136"/>
      <c r="F130" s="135"/>
      <c r="G130" s="135"/>
      <c r="H130" s="135"/>
      <c r="I130" s="135"/>
      <c r="J130" s="136"/>
      <c r="K130" s="136"/>
      <c r="L130" s="136"/>
      <c r="M130" s="30"/>
      <c r="N130" s="134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101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</row>
    <row r="131" spans="2:73" x14ac:dyDescent="0.25">
      <c r="B131" s="101"/>
      <c r="C131" s="101"/>
      <c r="D131" s="132"/>
      <c r="E131" s="132"/>
      <c r="F131" s="136"/>
      <c r="G131" s="136"/>
      <c r="H131" s="136"/>
      <c r="I131" s="136"/>
      <c r="J131" s="30"/>
      <c r="K131" s="30"/>
      <c r="L131" s="30"/>
      <c r="M131" s="30"/>
      <c r="N131" s="134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101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</row>
    <row r="132" spans="2:73" x14ac:dyDescent="0.25">
      <c r="B132" s="101"/>
      <c r="C132" s="101"/>
      <c r="D132" s="134"/>
      <c r="E132" s="137"/>
      <c r="F132" s="132"/>
      <c r="G132" s="132"/>
      <c r="H132" s="132"/>
      <c r="I132" s="132"/>
      <c r="J132" s="30"/>
      <c r="K132" s="30"/>
      <c r="L132" s="30"/>
      <c r="M132" s="30"/>
      <c r="N132" s="134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101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</row>
    <row r="133" spans="2:73" x14ac:dyDescent="0.25">
      <c r="B133" s="101"/>
      <c r="C133" s="101"/>
      <c r="D133" s="30"/>
      <c r="E133" s="30"/>
      <c r="F133" s="137"/>
      <c r="G133" s="137"/>
      <c r="H133" s="137"/>
      <c r="I133" s="137"/>
      <c r="J133" s="30"/>
      <c r="K133" s="30"/>
      <c r="L133" s="30"/>
      <c r="M133" s="30"/>
      <c r="N133" s="138"/>
      <c r="O133" s="138"/>
      <c r="P133" s="138"/>
      <c r="Q133" s="30"/>
      <c r="R133" s="101"/>
      <c r="S133" s="30"/>
      <c r="T133" s="139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101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</row>
    <row r="134" spans="2:73" x14ac:dyDescent="0.25">
      <c r="B134" s="101"/>
      <c r="C134" s="10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138"/>
      <c r="O134" s="138"/>
      <c r="P134" s="138"/>
      <c r="Q134" s="137"/>
      <c r="R134" s="30"/>
      <c r="S134" s="137"/>
      <c r="T134" s="139"/>
      <c r="U134" s="140"/>
      <c r="V134" s="140"/>
      <c r="W134" s="140"/>
      <c r="X134" s="140"/>
      <c r="Y134" s="140"/>
      <c r="Z134" s="30"/>
      <c r="AA134" s="140"/>
      <c r="AB134" s="140"/>
      <c r="AC134" s="140"/>
      <c r="AD134" s="140"/>
      <c r="AE134" s="140"/>
      <c r="AF134" s="101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</row>
    <row r="135" spans="2:73" x14ac:dyDescent="0.25">
      <c r="B135" s="101"/>
      <c r="C135" s="101"/>
      <c r="D135" s="141"/>
      <c r="E135" s="135"/>
      <c r="F135" s="30"/>
      <c r="G135" s="30"/>
      <c r="H135" s="30"/>
      <c r="I135" s="30"/>
      <c r="J135" s="135"/>
      <c r="K135" s="135"/>
      <c r="L135" s="135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101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</row>
    <row r="136" spans="2:73" x14ac:dyDescent="0.25">
      <c r="B136" s="101"/>
      <c r="C136" s="101"/>
      <c r="D136" s="30"/>
      <c r="E136" s="30"/>
      <c r="F136" s="135"/>
      <c r="G136" s="135"/>
      <c r="H136" s="135"/>
      <c r="I136" s="135"/>
      <c r="J136" s="30"/>
      <c r="K136" s="30"/>
      <c r="L136" s="30"/>
      <c r="M136" s="30"/>
      <c r="N136" s="134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135"/>
      <c r="AB136" s="135"/>
      <c r="AC136" s="142"/>
      <c r="AD136" s="142"/>
      <c r="AE136" s="142"/>
      <c r="AF136" s="101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</row>
    <row r="137" spans="2:73" x14ac:dyDescent="0.25">
      <c r="B137" s="101"/>
      <c r="C137" s="101"/>
      <c r="D137" s="30"/>
      <c r="E137" s="30"/>
      <c r="F137" s="135"/>
      <c r="G137" s="135"/>
      <c r="H137" s="135"/>
      <c r="I137" s="135"/>
      <c r="J137" s="30"/>
      <c r="K137" s="30"/>
      <c r="L137" s="30"/>
      <c r="M137" s="30"/>
      <c r="N137" s="134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135"/>
      <c r="AB137" s="135"/>
      <c r="AC137" s="142"/>
      <c r="AD137" s="142"/>
      <c r="AE137" s="142"/>
      <c r="AF137" s="101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</row>
    <row r="138" spans="2:73" x14ac:dyDescent="0.25">
      <c r="B138" s="101"/>
      <c r="C138" s="101"/>
      <c r="D138" s="30"/>
      <c r="E138" s="30"/>
      <c r="F138" s="135"/>
      <c r="G138" s="135"/>
      <c r="H138" s="135"/>
      <c r="I138" s="135"/>
      <c r="J138" s="30"/>
      <c r="K138" s="30"/>
      <c r="L138" s="30"/>
      <c r="M138" s="30"/>
      <c r="N138" s="134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135"/>
      <c r="AB138" s="135"/>
      <c r="AC138" s="142"/>
      <c r="AD138" s="142"/>
      <c r="AE138" s="142"/>
      <c r="AF138" s="101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</row>
    <row r="139" spans="2:73" x14ac:dyDescent="0.25"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</row>
    <row r="140" spans="2:73" x14ac:dyDescent="0.25"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</row>
    <row r="141" spans="2:73" x14ac:dyDescent="0.25"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</row>
    <row r="142" spans="2:73" x14ac:dyDescent="0.25"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</row>
    <row r="143" spans="2:73" x14ac:dyDescent="0.25"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</row>
    <row r="144" spans="2:73" x14ac:dyDescent="0.25"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</row>
    <row r="145" spans="2:73" x14ac:dyDescent="0.25"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</row>
    <row r="146" spans="2:73" x14ac:dyDescent="0.25"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</row>
    <row r="147" spans="2:73" x14ac:dyDescent="0.25">
      <c r="B147" s="101"/>
      <c r="AF147" s="101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</row>
    <row r="148" spans="2:73" x14ac:dyDescent="0.25">
      <c r="B148" s="101"/>
      <c r="AF148" s="101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</row>
    <row r="149" spans="2:73" x14ac:dyDescent="0.25">
      <c r="B149" s="101"/>
      <c r="AF149" s="101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</row>
    <row r="150" spans="2:73" x14ac:dyDescent="0.25">
      <c r="B150" s="101"/>
      <c r="AF150" s="101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</row>
    <row r="151" spans="2:73" x14ac:dyDescent="0.25">
      <c r="B151" s="101"/>
      <c r="AF151" s="101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</row>
    <row r="152" spans="2:73" x14ac:dyDescent="0.25">
      <c r="B152" s="101"/>
      <c r="AF152" s="101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</row>
    <row r="153" spans="2:73" x14ac:dyDescent="0.25">
      <c r="B153" s="101"/>
      <c r="AF153" s="101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</row>
    <row r="154" spans="2:73" x14ac:dyDescent="0.25">
      <c r="B154" s="101"/>
      <c r="AF154" s="101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</row>
    <row r="155" spans="2:73" x14ac:dyDescent="0.25">
      <c r="B155" s="101"/>
      <c r="AF155" s="101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</row>
    <row r="156" spans="2:73" x14ac:dyDescent="0.25">
      <c r="B156" s="101"/>
      <c r="AF156" s="101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</row>
    <row r="157" spans="2:73" x14ac:dyDescent="0.25">
      <c r="B157" s="101"/>
      <c r="AF157" s="101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</row>
    <row r="158" spans="2:73" x14ac:dyDescent="0.25">
      <c r="B158" s="101"/>
      <c r="AF158" s="101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</row>
    <row r="159" spans="2:73" x14ac:dyDescent="0.25">
      <c r="B159" s="101"/>
      <c r="AF159" s="101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</row>
    <row r="160" spans="2:73" x14ac:dyDescent="0.25">
      <c r="B160" s="101"/>
      <c r="AF160" s="101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</row>
    <row r="161" spans="34:73" x14ac:dyDescent="0.25"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</row>
    <row r="162" spans="34:73" x14ac:dyDescent="0.25"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</row>
    <row r="163" spans="34:73" x14ac:dyDescent="0.25"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</row>
    <row r="164" spans="34:73" x14ac:dyDescent="0.25"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</row>
    <row r="165" spans="34:73" x14ac:dyDescent="0.25"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</row>
    <row r="166" spans="34:73" x14ac:dyDescent="0.25"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</row>
    <row r="167" spans="34:73" x14ac:dyDescent="0.25"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</row>
    <row r="168" spans="34:73" x14ac:dyDescent="0.25"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</row>
    <row r="169" spans="34:73" x14ac:dyDescent="0.25"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</row>
    <row r="170" spans="34:73" x14ac:dyDescent="0.25"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</row>
    <row r="171" spans="34:73" x14ac:dyDescent="0.25"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</row>
    <row r="172" spans="34:73" x14ac:dyDescent="0.25"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</row>
    <row r="173" spans="34:73" x14ac:dyDescent="0.25"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</row>
    <row r="174" spans="34:73" x14ac:dyDescent="0.25"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</row>
    <row r="175" spans="34:73" x14ac:dyDescent="0.25"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</row>
    <row r="176" spans="34:73" x14ac:dyDescent="0.25"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</row>
    <row r="177" spans="34:73" x14ac:dyDescent="0.25"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</row>
    <row r="178" spans="34:73" x14ac:dyDescent="0.25"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</row>
    <row r="179" spans="34:73" x14ac:dyDescent="0.25"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</row>
    <row r="180" spans="34:73" x14ac:dyDescent="0.25"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</row>
    <row r="181" spans="34:73" x14ac:dyDescent="0.25"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</row>
    <row r="182" spans="34:73" x14ac:dyDescent="0.25"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</row>
    <row r="183" spans="34:73" x14ac:dyDescent="0.25"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</row>
    <row r="184" spans="34:73" x14ac:dyDescent="0.25"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</row>
    <row r="185" spans="34:73" x14ac:dyDescent="0.25"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</row>
    <row r="186" spans="34:73" x14ac:dyDescent="0.25"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</row>
    <row r="187" spans="34:73" x14ac:dyDescent="0.25"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</row>
    <row r="188" spans="34:73" x14ac:dyDescent="0.25"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</row>
    <row r="189" spans="34:73" x14ac:dyDescent="0.25"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</row>
    <row r="190" spans="34:73" x14ac:dyDescent="0.25"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</row>
    <row r="191" spans="34:73" x14ac:dyDescent="0.25"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</row>
    <row r="192" spans="34:73" x14ac:dyDescent="0.25"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</row>
    <row r="193" spans="34:73" x14ac:dyDescent="0.25"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</row>
    <row r="194" spans="34:73" x14ac:dyDescent="0.25"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</row>
    <row r="195" spans="34:73" x14ac:dyDescent="0.25"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</row>
    <row r="196" spans="34:73" x14ac:dyDescent="0.25"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</row>
    <row r="197" spans="34:73" x14ac:dyDescent="0.25"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</row>
    <row r="198" spans="34:73" x14ac:dyDescent="0.25"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</row>
    <row r="199" spans="34:73" x14ac:dyDescent="0.25"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</row>
    <row r="200" spans="34:73" x14ac:dyDescent="0.25"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</row>
    <row r="201" spans="34:73" x14ac:dyDescent="0.25"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</row>
    <row r="202" spans="34:73" x14ac:dyDescent="0.25"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</row>
    <row r="203" spans="34:73" x14ac:dyDescent="0.25"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</row>
    <row r="204" spans="34:73" x14ac:dyDescent="0.25"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</row>
    <row r="205" spans="34:73" x14ac:dyDescent="0.25"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</row>
    <row r="206" spans="34:73" x14ac:dyDescent="0.25"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</row>
    <row r="207" spans="34:73" x14ac:dyDescent="0.25"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</row>
    <row r="208" spans="34:73" x14ac:dyDescent="0.25"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</row>
    <row r="209" spans="34:73" x14ac:dyDescent="0.25"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</row>
    <row r="210" spans="34:73" x14ac:dyDescent="0.25"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</row>
    <row r="211" spans="34:73" x14ac:dyDescent="0.25"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</row>
    <row r="212" spans="34:73" x14ac:dyDescent="0.25"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</row>
    <row r="213" spans="34:73" x14ac:dyDescent="0.25"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</row>
    <row r="214" spans="34:73" x14ac:dyDescent="0.25"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</row>
    <row r="215" spans="34:73" x14ac:dyDescent="0.25"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</row>
    <row r="216" spans="34:73" x14ac:dyDescent="0.25"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</row>
    <row r="217" spans="34:73" x14ac:dyDescent="0.25"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</row>
    <row r="218" spans="34:73" x14ac:dyDescent="0.25"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</row>
    <row r="219" spans="34:73" x14ac:dyDescent="0.25"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</row>
    <row r="220" spans="34:73" x14ac:dyDescent="0.25"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</row>
    <row r="221" spans="34:73" x14ac:dyDescent="0.25"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</row>
    <row r="222" spans="34:73" x14ac:dyDescent="0.25"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</row>
    <row r="223" spans="34:73" x14ac:dyDescent="0.25"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</row>
    <row r="224" spans="34:73" x14ac:dyDescent="0.25"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</row>
    <row r="225" spans="34:73" x14ac:dyDescent="0.25"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</row>
    <row r="226" spans="34:73" x14ac:dyDescent="0.25"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</row>
    <row r="227" spans="34:73" x14ac:dyDescent="0.25"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</row>
    <row r="228" spans="34:73" x14ac:dyDescent="0.25"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</row>
    <row r="229" spans="34:73" x14ac:dyDescent="0.25"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</row>
    <row r="230" spans="34:73" x14ac:dyDescent="0.25"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</row>
    <row r="231" spans="34:73" x14ac:dyDescent="0.25"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</row>
    <row r="232" spans="34:73" x14ac:dyDescent="0.25"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</row>
    <row r="233" spans="34:73" x14ac:dyDescent="0.25"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</row>
    <row r="234" spans="34:73" x14ac:dyDescent="0.25"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</row>
    <row r="235" spans="34:73" x14ac:dyDescent="0.25"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</row>
    <row r="236" spans="34:73" x14ac:dyDescent="0.25"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</row>
    <row r="237" spans="34:73" x14ac:dyDescent="0.25"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</row>
    <row r="238" spans="34:73" x14ac:dyDescent="0.25"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</row>
    <row r="239" spans="34:73" x14ac:dyDescent="0.25"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</row>
    <row r="240" spans="34:73" x14ac:dyDescent="0.25"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</row>
    <row r="241" spans="34:73" x14ac:dyDescent="0.25"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</row>
    <row r="242" spans="34:73" x14ac:dyDescent="0.25"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</row>
    <row r="243" spans="34:73" x14ac:dyDescent="0.25"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</row>
    <row r="244" spans="34:73" x14ac:dyDescent="0.25"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</row>
    <row r="245" spans="34:73" x14ac:dyDescent="0.25"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</row>
    <row r="246" spans="34:73" x14ac:dyDescent="0.25"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</row>
    <row r="247" spans="34:73" x14ac:dyDescent="0.25"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</row>
    <row r="248" spans="34:73" x14ac:dyDescent="0.25"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</row>
    <row r="249" spans="34:73" x14ac:dyDescent="0.25"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</row>
    <row r="250" spans="34:73" x14ac:dyDescent="0.25"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</row>
    <row r="251" spans="34:73" x14ac:dyDescent="0.25"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</row>
    <row r="252" spans="34:73" x14ac:dyDescent="0.25"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</row>
    <row r="253" spans="34:73" x14ac:dyDescent="0.25"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</row>
    <row r="254" spans="34:73" x14ac:dyDescent="0.25"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</row>
    <row r="255" spans="34:73" x14ac:dyDescent="0.25"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</row>
    <row r="256" spans="34:73" x14ac:dyDescent="0.25"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</row>
    <row r="257" spans="34:73" x14ac:dyDescent="0.25"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</row>
    <row r="258" spans="34:73" x14ac:dyDescent="0.25"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</row>
    <row r="259" spans="34:73" x14ac:dyDescent="0.25"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</row>
    <row r="260" spans="34:73" x14ac:dyDescent="0.25"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</row>
    <row r="261" spans="34:73" x14ac:dyDescent="0.25"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</row>
    <row r="262" spans="34:73" x14ac:dyDescent="0.25"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</row>
    <row r="263" spans="34:73" x14ac:dyDescent="0.25"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</row>
    <row r="264" spans="34:73" x14ac:dyDescent="0.25"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</row>
    <row r="265" spans="34:73" x14ac:dyDescent="0.25"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</row>
    <row r="266" spans="34:73" x14ac:dyDescent="0.25"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</row>
    <row r="267" spans="34:73" x14ac:dyDescent="0.25"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</row>
    <row r="268" spans="34:73" x14ac:dyDescent="0.25"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</row>
    <row r="269" spans="34:73" x14ac:dyDescent="0.25"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</row>
    <row r="270" spans="34:73" x14ac:dyDescent="0.25"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</row>
    <row r="271" spans="34:73" x14ac:dyDescent="0.25"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</row>
    <row r="272" spans="34:73" x14ac:dyDescent="0.25"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</row>
    <row r="273" spans="34:73" x14ac:dyDescent="0.25"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</row>
    <row r="274" spans="34:73" x14ac:dyDescent="0.25"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</row>
    <row r="275" spans="34:73" x14ac:dyDescent="0.25"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</row>
    <row r="276" spans="34:73" x14ac:dyDescent="0.25"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</row>
    <row r="277" spans="34:73" x14ac:dyDescent="0.25"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</row>
    <row r="278" spans="34:73" x14ac:dyDescent="0.25"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</row>
    <row r="279" spans="34:73" x14ac:dyDescent="0.25"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</row>
    <row r="280" spans="34:73" x14ac:dyDescent="0.25"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</row>
    <row r="281" spans="34:73" x14ac:dyDescent="0.25"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</row>
    <row r="282" spans="34:73" x14ac:dyDescent="0.25"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</row>
    <row r="283" spans="34:73" x14ac:dyDescent="0.25"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</row>
    <row r="284" spans="34:73" x14ac:dyDescent="0.25"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</row>
    <row r="285" spans="34:73" x14ac:dyDescent="0.25"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</row>
    <row r="286" spans="34:73" x14ac:dyDescent="0.25"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</row>
    <row r="287" spans="34:73" x14ac:dyDescent="0.25"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</row>
    <row r="288" spans="34:73" x14ac:dyDescent="0.25"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</row>
    <row r="289" spans="34:73" x14ac:dyDescent="0.25"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</row>
    <row r="290" spans="34:73" x14ac:dyDescent="0.25"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</row>
    <row r="291" spans="34:73" x14ac:dyDescent="0.25"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</row>
    <row r="292" spans="34:73" x14ac:dyDescent="0.25"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</row>
    <row r="293" spans="34:73" x14ac:dyDescent="0.25"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</row>
    <row r="294" spans="34:73" x14ac:dyDescent="0.25"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</row>
    <row r="295" spans="34:73" x14ac:dyDescent="0.25"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</row>
    <row r="296" spans="34:73" x14ac:dyDescent="0.25"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</row>
    <row r="297" spans="34:73" x14ac:dyDescent="0.25"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</row>
    <row r="298" spans="34:73" x14ac:dyDescent="0.25"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</row>
    <row r="299" spans="34:73" x14ac:dyDescent="0.25"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</row>
    <row r="300" spans="34:73" x14ac:dyDescent="0.25"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</row>
    <row r="301" spans="34:73" x14ac:dyDescent="0.25"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</row>
    <row r="302" spans="34:73" x14ac:dyDescent="0.25"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</row>
    <row r="303" spans="34:73" x14ac:dyDescent="0.25"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</row>
    <row r="304" spans="34:73" x14ac:dyDescent="0.25"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</row>
    <row r="305" spans="34:73" x14ac:dyDescent="0.25"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</row>
    <row r="306" spans="34:73" x14ac:dyDescent="0.25"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</row>
    <row r="307" spans="34:73" x14ac:dyDescent="0.25"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</row>
    <row r="308" spans="34:73" x14ac:dyDescent="0.25"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</row>
    <row r="309" spans="34:73" x14ac:dyDescent="0.25"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</row>
    <row r="310" spans="34:73" x14ac:dyDescent="0.25"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</row>
    <row r="311" spans="34:73" x14ac:dyDescent="0.25"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</row>
    <row r="312" spans="34:73" x14ac:dyDescent="0.25"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</row>
    <row r="313" spans="34:73" x14ac:dyDescent="0.25"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</row>
    <row r="314" spans="34:73" x14ac:dyDescent="0.25"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</row>
    <row r="315" spans="34:73" x14ac:dyDescent="0.25"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</row>
    <row r="316" spans="34:73" x14ac:dyDescent="0.25"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</row>
    <row r="317" spans="34:73" x14ac:dyDescent="0.25"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</row>
    <row r="318" spans="34:73" x14ac:dyDescent="0.25"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</row>
    <row r="319" spans="34:73" x14ac:dyDescent="0.25"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</row>
    <row r="320" spans="34:73" x14ac:dyDescent="0.25"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</row>
    <row r="321" spans="34:73" x14ac:dyDescent="0.25"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</row>
    <row r="322" spans="34:73" x14ac:dyDescent="0.25"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</row>
    <row r="323" spans="34:73" x14ac:dyDescent="0.25"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</row>
    <row r="324" spans="34:73" x14ac:dyDescent="0.25"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</row>
    <row r="325" spans="34:73" x14ac:dyDescent="0.25"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</row>
    <row r="326" spans="34:73" x14ac:dyDescent="0.25"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</row>
    <row r="327" spans="34:73" x14ac:dyDescent="0.25"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</row>
    <row r="328" spans="34:73" x14ac:dyDescent="0.25"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</row>
    <row r="329" spans="34:73" x14ac:dyDescent="0.25"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</row>
    <row r="330" spans="34:73" x14ac:dyDescent="0.25"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</row>
    <row r="331" spans="34:73" x14ac:dyDescent="0.25"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</row>
    <row r="332" spans="34:73" x14ac:dyDescent="0.25"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</row>
    <row r="333" spans="34:73" x14ac:dyDescent="0.25"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</row>
    <row r="334" spans="34:73" x14ac:dyDescent="0.25"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</row>
    <row r="335" spans="34:73" x14ac:dyDescent="0.25"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</row>
    <row r="336" spans="34:73" x14ac:dyDescent="0.25"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</row>
    <row r="337" spans="34:73" x14ac:dyDescent="0.25"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</row>
    <row r="338" spans="34:73" x14ac:dyDescent="0.25"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</row>
    <row r="339" spans="34:73" x14ac:dyDescent="0.25"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</row>
    <row r="340" spans="34:73" x14ac:dyDescent="0.25"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</row>
    <row r="341" spans="34:73" x14ac:dyDescent="0.25"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</row>
    <row r="342" spans="34:73" x14ac:dyDescent="0.25"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</row>
    <row r="343" spans="34:73" x14ac:dyDescent="0.25"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</row>
    <row r="344" spans="34:73" x14ac:dyDescent="0.25"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</row>
    <row r="345" spans="34:73" x14ac:dyDescent="0.25"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</row>
    <row r="346" spans="34:73" x14ac:dyDescent="0.25"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</row>
    <row r="347" spans="34:73" x14ac:dyDescent="0.25"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</row>
    <row r="348" spans="34:73" x14ac:dyDescent="0.25"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</row>
    <row r="349" spans="34:73" x14ac:dyDescent="0.25"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</row>
    <row r="350" spans="34:73" x14ac:dyDescent="0.25"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</row>
    <row r="351" spans="34:73" x14ac:dyDescent="0.25"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</row>
    <row r="352" spans="34:73" x14ac:dyDescent="0.25"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</row>
    <row r="353" spans="34:73" x14ac:dyDescent="0.25"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</row>
    <row r="354" spans="34:73" x14ac:dyDescent="0.25"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</row>
    <row r="355" spans="34:73" x14ac:dyDescent="0.25"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</row>
    <row r="356" spans="34:73" x14ac:dyDescent="0.25"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</row>
    <row r="357" spans="34:73" x14ac:dyDescent="0.25"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</row>
    <row r="358" spans="34:73" x14ac:dyDescent="0.25"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</row>
    <row r="359" spans="34:73" x14ac:dyDescent="0.25"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</row>
    <row r="360" spans="34:73" x14ac:dyDescent="0.25"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</row>
    <row r="361" spans="34:73" x14ac:dyDescent="0.25"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</row>
    <row r="362" spans="34:73" x14ac:dyDescent="0.25"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</row>
    <row r="363" spans="34:73" x14ac:dyDescent="0.25"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</row>
    <row r="364" spans="34:73" x14ac:dyDescent="0.25"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</row>
    <row r="365" spans="34:73" x14ac:dyDescent="0.25"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</row>
    <row r="366" spans="34:73" x14ac:dyDescent="0.25"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</row>
    <row r="367" spans="34:73" x14ac:dyDescent="0.25"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</row>
    <row r="368" spans="34:73" x14ac:dyDescent="0.25"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</row>
    <row r="369" spans="34:73" x14ac:dyDescent="0.25"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</row>
    <row r="370" spans="34:73" x14ac:dyDescent="0.25"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</row>
    <row r="371" spans="34:73" x14ac:dyDescent="0.25"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</row>
    <row r="372" spans="34:73" x14ac:dyDescent="0.25"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</row>
    <row r="373" spans="34:73" x14ac:dyDescent="0.25"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</row>
    <row r="374" spans="34:73" x14ac:dyDescent="0.25"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</row>
    <row r="375" spans="34:73" x14ac:dyDescent="0.25"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</row>
    <row r="376" spans="34:73" x14ac:dyDescent="0.25"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</row>
    <row r="377" spans="34:73" x14ac:dyDescent="0.25"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</row>
    <row r="378" spans="34:73" x14ac:dyDescent="0.25"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</row>
    <row r="379" spans="34:73" x14ac:dyDescent="0.25"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</row>
    <row r="380" spans="34:73" x14ac:dyDescent="0.25"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</row>
    <row r="381" spans="34:73" x14ac:dyDescent="0.25"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</row>
    <row r="382" spans="34:73" x14ac:dyDescent="0.25"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</row>
    <row r="383" spans="34:73" x14ac:dyDescent="0.25"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</row>
    <row r="384" spans="34:73" x14ac:dyDescent="0.25"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</row>
    <row r="385" spans="34:73" x14ac:dyDescent="0.25"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</row>
    <row r="386" spans="34:73" x14ac:dyDescent="0.25"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</row>
    <row r="387" spans="34:73" x14ac:dyDescent="0.25"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</row>
    <row r="388" spans="34:73" x14ac:dyDescent="0.25"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</row>
    <row r="389" spans="34:73" x14ac:dyDescent="0.25"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</row>
    <row r="390" spans="34:73" x14ac:dyDescent="0.25"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</row>
    <row r="391" spans="34:73" x14ac:dyDescent="0.25"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</row>
    <row r="392" spans="34:73" x14ac:dyDescent="0.25"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</row>
    <row r="393" spans="34:73" x14ac:dyDescent="0.25"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</row>
    <row r="394" spans="34:73" x14ac:dyDescent="0.25"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</row>
    <row r="395" spans="34:73" x14ac:dyDescent="0.25"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</row>
    <row r="396" spans="34:73" x14ac:dyDescent="0.25"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</row>
    <row r="397" spans="34:73" x14ac:dyDescent="0.25"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</row>
    <row r="398" spans="34:73" x14ac:dyDescent="0.25"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</row>
    <row r="399" spans="34:73" x14ac:dyDescent="0.25"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</row>
    <row r="400" spans="34:73" x14ac:dyDescent="0.25"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</row>
    <row r="401" spans="34:73" x14ac:dyDescent="0.25"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</row>
    <row r="402" spans="34:73" x14ac:dyDescent="0.25"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</row>
    <row r="403" spans="34:73" x14ac:dyDescent="0.25"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</row>
    <row r="404" spans="34:73" x14ac:dyDescent="0.25"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</row>
    <row r="405" spans="34:73" x14ac:dyDescent="0.25"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</row>
    <row r="406" spans="34:73" x14ac:dyDescent="0.25"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</row>
    <row r="407" spans="34:73" x14ac:dyDescent="0.25"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</row>
    <row r="408" spans="34:73" x14ac:dyDescent="0.25"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</row>
    <row r="409" spans="34:73" x14ac:dyDescent="0.25"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</row>
    <row r="410" spans="34:73" x14ac:dyDescent="0.25"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</row>
    <row r="411" spans="34:73" x14ac:dyDescent="0.25"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</row>
    <row r="412" spans="34:73" x14ac:dyDescent="0.25"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</row>
    <row r="413" spans="34:73" x14ac:dyDescent="0.25"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</row>
    <row r="414" spans="34:73" x14ac:dyDescent="0.25"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</row>
    <row r="415" spans="34:73" x14ac:dyDescent="0.25"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</row>
    <row r="416" spans="34:73" x14ac:dyDescent="0.25"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</row>
    <row r="417" spans="34:73" x14ac:dyDescent="0.25"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</row>
    <row r="418" spans="34:73" x14ac:dyDescent="0.25"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</row>
    <row r="419" spans="34:73" x14ac:dyDescent="0.25"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</row>
    <row r="420" spans="34:73" x14ac:dyDescent="0.25"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</row>
    <row r="421" spans="34:73" x14ac:dyDescent="0.25"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</row>
    <row r="422" spans="34:73" x14ac:dyDescent="0.25"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</row>
    <row r="423" spans="34:73" x14ac:dyDescent="0.25"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</row>
    <row r="424" spans="34:73" x14ac:dyDescent="0.25"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</row>
    <row r="425" spans="34:73" x14ac:dyDescent="0.25"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</row>
    <row r="426" spans="34:73" x14ac:dyDescent="0.25"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</row>
    <row r="427" spans="34:73" x14ac:dyDescent="0.25"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</row>
    <row r="428" spans="34:73" x14ac:dyDescent="0.25"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</row>
    <row r="429" spans="34:73" x14ac:dyDescent="0.25"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</row>
    <row r="430" spans="34:73" x14ac:dyDescent="0.25"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</row>
    <row r="431" spans="34:73" x14ac:dyDescent="0.25"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</row>
    <row r="432" spans="34:73" x14ac:dyDescent="0.25"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</row>
    <row r="433" spans="34:73" x14ac:dyDescent="0.25"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</row>
    <row r="434" spans="34:73" x14ac:dyDescent="0.25"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</row>
    <row r="435" spans="34:73" x14ac:dyDescent="0.25"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</row>
    <row r="436" spans="34:73" x14ac:dyDescent="0.25"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</row>
    <row r="437" spans="34:73" x14ac:dyDescent="0.25"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</row>
    <row r="438" spans="34:73" x14ac:dyDescent="0.25"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</row>
    <row r="439" spans="34:73" x14ac:dyDescent="0.25"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</row>
    <row r="440" spans="34:73" x14ac:dyDescent="0.25"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</row>
    <row r="441" spans="34:73" x14ac:dyDescent="0.25"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</row>
    <row r="442" spans="34:73" x14ac:dyDescent="0.25"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</row>
    <row r="443" spans="34:73" x14ac:dyDescent="0.25"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</row>
    <row r="444" spans="34:73" x14ac:dyDescent="0.25"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</row>
    <row r="445" spans="34:73" x14ac:dyDescent="0.25"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</row>
    <row r="446" spans="34:73" x14ac:dyDescent="0.25"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</row>
    <row r="447" spans="34:73" x14ac:dyDescent="0.25"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</row>
    <row r="448" spans="34:73" x14ac:dyDescent="0.25"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</row>
    <row r="449" spans="34:73" x14ac:dyDescent="0.25"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</row>
    <row r="450" spans="34:73" x14ac:dyDescent="0.25"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</row>
    <row r="451" spans="34:73" x14ac:dyDescent="0.25"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</row>
    <row r="452" spans="34:73" x14ac:dyDescent="0.25"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</row>
    <row r="453" spans="34:73" x14ac:dyDescent="0.25"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</row>
    <row r="454" spans="34:73" x14ac:dyDescent="0.25"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</row>
    <row r="455" spans="34:73" x14ac:dyDescent="0.25"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</row>
    <row r="456" spans="34:73" x14ac:dyDescent="0.25"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</row>
    <row r="457" spans="34:73" x14ac:dyDescent="0.25"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</row>
    <row r="458" spans="34:73" x14ac:dyDescent="0.25"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</row>
    <row r="459" spans="34:73" x14ac:dyDescent="0.25"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</row>
    <row r="460" spans="34:73" x14ac:dyDescent="0.25"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</row>
    <row r="461" spans="34:73" x14ac:dyDescent="0.25"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</row>
    <row r="462" spans="34:73" x14ac:dyDescent="0.25"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</row>
    <row r="463" spans="34:73" x14ac:dyDescent="0.25"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</row>
    <row r="464" spans="34:73" x14ac:dyDescent="0.25"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</row>
    <row r="465" spans="34:73" x14ac:dyDescent="0.25"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</row>
    <row r="466" spans="34:73" x14ac:dyDescent="0.25"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</row>
    <row r="467" spans="34:73" x14ac:dyDescent="0.25"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</row>
    <row r="468" spans="34:73" x14ac:dyDescent="0.25"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</row>
    <row r="469" spans="34:73" x14ac:dyDescent="0.25"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</row>
    <row r="470" spans="34:73" x14ac:dyDescent="0.25"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</row>
    <row r="471" spans="34:73" x14ac:dyDescent="0.25"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</row>
    <row r="472" spans="34:73" x14ac:dyDescent="0.25"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</row>
    <row r="473" spans="34:73" x14ac:dyDescent="0.25"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</row>
    <row r="474" spans="34:73" x14ac:dyDescent="0.25"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</row>
    <row r="475" spans="34:73" x14ac:dyDescent="0.25"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</row>
    <row r="476" spans="34:73" x14ac:dyDescent="0.25"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</row>
    <row r="477" spans="34:73" x14ac:dyDescent="0.25"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</row>
    <row r="478" spans="34:73" x14ac:dyDescent="0.25"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</row>
    <row r="479" spans="34:73" x14ac:dyDescent="0.25"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</row>
    <row r="480" spans="34:73" x14ac:dyDescent="0.25"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</row>
    <row r="481" spans="34:73" x14ac:dyDescent="0.25"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</row>
    <row r="482" spans="34:73" x14ac:dyDescent="0.25"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</row>
    <row r="483" spans="34:73" x14ac:dyDescent="0.25"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</row>
    <row r="484" spans="34:73" x14ac:dyDescent="0.25"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</row>
    <row r="485" spans="34:73" x14ac:dyDescent="0.25"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</row>
    <row r="486" spans="34:73" x14ac:dyDescent="0.25"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</row>
    <row r="487" spans="34:73" x14ac:dyDescent="0.25"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</row>
    <row r="488" spans="34:73" x14ac:dyDescent="0.25"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</row>
    <row r="489" spans="34:73" x14ac:dyDescent="0.25"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</row>
    <row r="490" spans="34:73" x14ac:dyDescent="0.25"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</row>
    <row r="491" spans="34:73" x14ac:dyDescent="0.25"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</row>
    <row r="492" spans="34:73" x14ac:dyDescent="0.25"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</row>
    <row r="493" spans="34:73" x14ac:dyDescent="0.25"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</row>
    <row r="494" spans="34:73" x14ac:dyDescent="0.25"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</row>
    <row r="495" spans="34:73" x14ac:dyDescent="0.25"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</row>
    <row r="496" spans="34:73" x14ac:dyDescent="0.25"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</row>
    <row r="497" spans="34:73" x14ac:dyDescent="0.25"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</row>
    <row r="498" spans="34:73" x14ac:dyDescent="0.25"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</row>
    <row r="499" spans="34:73" x14ac:dyDescent="0.25"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</row>
    <row r="500" spans="34:73" x14ac:dyDescent="0.25"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</row>
    <row r="501" spans="34:73" x14ac:dyDescent="0.25"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</row>
    <row r="502" spans="34:73" x14ac:dyDescent="0.25"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</row>
    <row r="503" spans="34:73" x14ac:dyDescent="0.25"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</row>
    <row r="504" spans="34:73" x14ac:dyDescent="0.25"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</row>
    <row r="505" spans="34:73" x14ac:dyDescent="0.25"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</row>
    <row r="506" spans="34:73" x14ac:dyDescent="0.25"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</row>
    <row r="507" spans="34:73" x14ac:dyDescent="0.25"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</row>
    <row r="508" spans="34:73" x14ac:dyDescent="0.25"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</row>
    <row r="509" spans="34:73" x14ac:dyDescent="0.25"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</row>
    <row r="510" spans="34:73" x14ac:dyDescent="0.25"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</row>
    <row r="511" spans="34:73" x14ac:dyDescent="0.25"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</row>
    <row r="512" spans="34:73" x14ac:dyDescent="0.25"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</row>
    <row r="513" spans="34:73" x14ac:dyDescent="0.25"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</row>
    <row r="514" spans="34:73" x14ac:dyDescent="0.25"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</row>
    <row r="515" spans="34:73" x14ac:dyDescent="0.25"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</row>
    <row r="516" spans="34:73" x14ac:dyDescent="0.25"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</row>
    <row r="517" spans="34:73" x14ac:dyDescent="0.25"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</row>
    <row r="518" spans="34:73" x14ac:dyDescent="0.25"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</row>
    <row r="519" spans="34:73" x14ac:dyDescent="0.25"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</row>
    <row r="520" spans="34:73" x14ac:dyDescent="0.25"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</row>
    <row r="521" spans="34:73" x14ac:dyDescent="0.25"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</row>
    <row r="522" spans="34:73" x14ac:dyDescent="0.25"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</row>
    <row r="523" spans="34:73" x14ac:dyDescent="0.25"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</row>
    <row r="524" spans="34:73" x14ac:dyDescent="0.25"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</row>
    <row r="525" spans="34:73" x14ac:dyDescent="0.25"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</row>
    <row r="526" spans="34:73" x14ac:dyDescent="0.25"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</row>
    <row r="527" spans="34:73" x14ac:dyDescent="0.25"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</row>
    <row r="528" spans="34:73" x14ac:dyDescent="0.25"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</row>
    <row r="529" spans="34:73" x14ac:dyDescent="0.25"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</row>
    <row r="530" spans="34:73" x14ac:dyDescent="0.25"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</row>
    <row r="531" spans="34:73" x14ac:dyDescent="0.25"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</row>
    <row r="532" spans="34:73" x14ac:dyDescent="0.25"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</row>
    <row r="533" spans="34:73" x14ac:dyDescent="0.25"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</row>
    <row r="534" spans="34:73" x14ac:dyDescent="0.25"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</row>
    <row r="535" spans="34:73" x14ac:dyDescent="0.25"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</row>
    <row r="536" spans="34:73" x14ac:dyDescent="0.25"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</row>
    <row r="537" spans="34:73" x14ac:dyDescent="0.25"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</row>
    <row r="538" spans="34:73" x14ac:dyDescent="0.25"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</row>
    <row r="539" spans="34:73" x14ac:dyDescent="0.25"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</row>
    <row r="540" spans="34:73" x14ac:dyDescent="0.25"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</row>
    <row r="541" spans="34:73" x14ac:dyDescent="0.25"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</row>
    <row r="542" spans="34:73" x14ac:dyDescent="0.25"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</row>
    <row r="543" spans="34:73" x14ac:dyDescent="0.25"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</row>
    <row r="544" spans="34:73" x14ac:dyDescent="0.25"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</row>
    <row r="545" spans="34:73" x14ac:dyDescent="0.25"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</row>
    <row r="546" spans="34:73" x14ac:dyDescent="0.25"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</row>
    <row r="547" spans="34:73" x14ac:dyDescent="0.25"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</row>
    <row r="548" spans="34:73" x14ac:dyDescent="0.25"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</row>
    <row r="549" spans="34:73" x14ac:dyDescent="0.25"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</row>
    <row r="550" spans="34:73" x14ac:dyDescent="0.25"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</row>
    <row r="551" spans="34:73" x14ac:dyDescent="0.25"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</row>
    <row r="552" spans="34:73" x14ac:dyDescent="0.25"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</row>
    <row r="553" spans="34:73" x14ac:dyDescent="0.25"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</row>
    <row r="554" spans="34:73" x14ac:dyDescent="0.25"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</row>
    <row r="555" spans="34:73" x14ac:dyDescent="0.25"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</row>
    <row r="556" spans="34:73" x14ac:dyDescent="0.25"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</row>
    <row r="557" spans="34:73" x14ac:dyDescent="0.25"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</row>
    <row r="558" spans="34:73" x14ac:dyDescent="0.25"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</row>
    <row r="559" spans="34:73" x14ac:dyDescent="0.25"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</row>
    <row r="560" spans="34:73" x14ac:dyDescent="0.25"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</row>
    <row r="561" spans="34:73" x14ac:dyDescent="0.25"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</row>
    <row r="562" spans="34:73" x14ac:dyDescent="0.25"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</row>
    <row r="563" spans="34:73" x14ac:dyDescent="0.25"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</row>
    <row r="564" spans="34:73" x14ac:dyDescent="0.25"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</row>
    <row r="565" spans="34:73" x14ac:dyDescent="0.25"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</row>
    <row r="566" spans="34:73" x14ac:dyDescent="0.25"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</row>
    <row r="567" spans="34:73" x14ac:dyDescent="0.25"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</row>
    <row r="568" spans="34:73" x14ac:dyDescent="0.25"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</row>
    <row r="569" spans="34:73" x14ac:dyDescent="0.25"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</row>
    <row r="570" spans="34:73" x14ac:dyDescent="0.25"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</row>
    <row r="571" spans="34:73" x14ac:dyDescent="0.25"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</row>
    <row r="572" spans="34:73" x14ac:dyDescent="0.25"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</row>
    <row r="573" spans="34:73" x14ac:dyDescent="0.25"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</row>
    <row r="574" spans="34:73" x14ac:dyDescent="0.25"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</row>
    <row r="575" spans="34:73" x14ac:dyDescent="0.25"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</row>
    <row r="576" spans="34:73" x14ac:dyDescent="0.25"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</row>
    <row r="577" spans="34:73" x14ac:dyDescent="0.25"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</row>
    <row r="578" spans="34:73" x14ac:dyDescent="0.25"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</row>
    <row r="579" spans="34:73" x14ac:dyDescent="0.25"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</row>
    <row r="580" spans="34:73" x14ac:dyDescent="0.25"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</row>
    <row r="581" spans="34:73" x14ac:dyDescent="0.25"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</row>
    <row r="582" spans="34:73" x14ac:dyDescent="0.25"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</row>
    <row r="583" spans="34:73" x14ac:dyDescent="0.25"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</row>
    <row r="584" spans="34:73" x14ac:dyDescent="0.25"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</row>
    <row r="585" spans="34:73" x14ac:dyDescent="0.25"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</row>
    <row r="586" spans="34:73" x14ac:dyDescent="0.25"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</row>
    <row r="587" spans="34:73" x14ac:dyDescent="0.25"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</row>
    <row r="588" spans="34:73" x14ac:dyDescent="0.25"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</row>
    <row r="589" spans="34:73" x14ac:dyDescent="0.25"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</row>
    <row r="590" spans="34:73" x14ac:dyDescent="0.25"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</row>
    <row r="591" spans="34:73" x14ac:dyDescent="0.25"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</row>
    <row r="592" spans="34:73" x14ac:dyDescent="0.25"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</row>
    <row r="593" spans="34:73" x14ac:dyDescent="0.25"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</row>
    <row r="594" spans="34:73" x14ac:dyDescent="0.25"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</row>
    <row r="595" spans="34:73" x14ac:dyDescent="0.25"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</row>
    <row r="596" spans="34:73" x14ac:dyDescent="0.25"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</row>
    <row r="597" spans="34:73" x14ac:dyDescent="0.25"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</row>
    <row r="598" spans="34:73" x14ac:dyDescent="0.25"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</row>
    <row r="599" spans="34:73" x14ac:dyDescent="0.25"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</row>
    <row r="600" spans="34:73" x14ac:dyDescent="0.25"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</row>
    <row r="601" spans="34:73" x14ac:dyDescent="0.25"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</row>
    <row r="602" spans="34:73" x14ac:dyDescent="0.25"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</row>
    <row r="603" spans="34:73" x14ac:dyDescent="0.25"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</row>
    <row r="604" spans="34:73" x14ac:dyDescent="0.25"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</row>
    <row r="605" spans="34:73" x14ac:dyDescent="0.25"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</row>
    <row r="606" spans="34:73" x14ac:dyDescent="0.25"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</row>
    <row r="607" spans="34:73" x14ac:dyDescent="0.25"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</row>
    <row r="608" spans="34:73" x14ac:dyDescent="0.25"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</row>
    <row r="609" spans="34:73" x14ac:dyDescent="0.25"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</row>
    <row r="610" spans="34:73" x14ac:dyDescent="0.25"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</row>
    <row r="611" spans="34:73" x14ac:dyDescent="0.25"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</row>
    <row r="612" spans="34:73" x14ac:dyDescent="0.25"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</row>
    <row r="613" spans="34:73" x14ac:dyDescent="0.25"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</row>
    <row r="614" spans="34:73" x14ac:dyDescent="0.25"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</row>
    <row r="615" spans="34:73" x14ac:dyDescent="0.25"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</row>
    <row r="616" spans="34:73" x14ac:dyDescent="0.25"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</row>
    <row r="617" spans="34:73" x14ac:dyDescent="0.25"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</row>
    <row r="618" spans="34:73" x14ac:dyDescent="0.25"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</row>
    <row r="619" spans="34:73" x14ac:dyDescent="0.25"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</row>
    <row r="620" spans="34:73" x14ac:dyDescent="0.25"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</row>
    <row r="621" spans="34:73" x14ac:dyDescent="0.25"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</row>
    <row r="622" spans="34:73" x14ac:dyDescent="0.25"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</row>
    <row r="623" spans="34:73" x14ac:dyDescent="0.25"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</row>
    <row r="624" spans="34:73" x14ac:dyDescent="0.25"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</row>
    <row r="625" spans="34:73" x14ac:dyDescent="0.25"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</row>
    <row r="626" spans="34:73" x14ac:dyDescent="0.25"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</row>
    <row r="627" spans="34:73" x14ac:dyDescent="0.25"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</row>
    <row r="628" spans="34:73" x14ac:dyDescent="0.25"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</row>
    <row r="629" spans="34:73" x14ac:dyDescent="0.25"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</row>
    <row r="630" spans="34:73" x14ac:dyDescent="0.25"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</row>
    <row r="631" spans="34:73" x14ac:dyDescent="0.25"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</row>
    <row r="632" spans="34:73" x14ac:dyDescent="0.25"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</row>
    <row r="633" spans="34:73" x14ac:dyDescent="0.25"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</row>
    <row r="634" spans="34:73" x14ac:dyDescent="0.25"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</row>
    <row r="635" spans="34:73" x14ac:dyDescent="0.25"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</row>
    <row r="636" spans="34:73" x14ac:dyDescent="0.25"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</row>
    <row r="637" spans="34:73" x14ac:dyDescent="0.25"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</row>
    <row r="638" spans="34:73" x14ac:dyDescent="0.25"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</row>
    <row r="639" spans="34:73" x14ac:dyDescent="0.25"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</row>
    <row r="640" spans="34:73" x14ac:dyDescent="0.25"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</row>
    <row r="641" spans="34:73" x14ac:dyDescent="0.25"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</row>
    <row r="642" spans="34:73" x14ac:dyDescent="0.25"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</row>
    <row r="643" spans="34:73" x14ac:dyDescent="0.25"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</row>
    <row r="644" spans="34:73" x14ac:dyDescent="0.25"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</row>
    <row r="645" spans="34:73" x14ac:dyDescent="0.25"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</row>
    <row r="646" spans="34:73" x14ac:dyDescent="0.25"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</row>
    <row r="647" spans="34:73" x14ac:dyDescent="0.25"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</row>
    <row r="648" spans="34:73" x14ac:dyDescent="0.25"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</row>
    <row r="649" spans="34:73" x14ac:dyDescent="0.25"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</row>
    <row r="650" spans="34:73" x14ac:dyDescent="0.25"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</row>
    <row r="651" spans="34:73" x14ac:dyDescent="0.25"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</row>
    <row r="652" spans="34:73" x14ac:dyDescent="0.25"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</row>
    <row r="653" spans="34:73" x14ac:dyDescent="0.25"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</row>
    <row r="654" spans="34:73" x14ac:dyDescent="0.25"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</row>
    <row r="655" spans="34:73" x14ac:dyDescent="0.25"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</row>
    <row r="656" spans="34:73" x14ac:dyDescent="0.25"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</row>
    <row r="657" spans="34:73" x14ac:dyDescent="0.25"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</row>
    <row r="658" spans="34:73" x14ac:dyDescent="0.25"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</row>
    <row r="659" spans="34:73" x14ac:dyDescent="0.25"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</row>
    <row r="660" spans="34:73" x14ac:dyDescent="0.25"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</row>
    <row r="661" spans="34:73" x14ac:dyDescent="0.25"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</row>
    <row r="662" spans="34:73" x14ac:dyDescent="0.25"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</row>
    <row r="663" spans="34:73" x14ac:dyDescent="0.25"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</row>
    <row r="664" spans="34:73" x14ac:dyDescent="0.25"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</row>
    <row r="665" spans="34:73" x14ac:dyDescent="0.25"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</row>
    <row r="666" spans="34:73" x14ac:dyDescent="0.25"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</row>
    <row r="667" spans="34:73" x14ac:dyDescent="0.25"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</row>
    <row r="668" spans="34:73" x14ac:dyDescent="0.25"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</row>
    <row r="669" spans="34:73" x14ac:dyDescent="0.25"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</row>
    <row r="670" spans="34:73" x14ac:dyDescent="0.25"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</row>
    <row r="671" spans="34:73" x14ac:dyDescent="0.25"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</row>
    <row r="672" spans="34:73" x14ac:dyDescent="0.25"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</row>
    <row r="673" spans="34:73" x14ac:dyDescent="0.25"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</row>
    <row r="674" spans="34:73" x14ac:dyDescent="0.25"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</row>
    <row r="675" spans="34:73" x14ac:dyDescent="0.25"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</row>
    <row r="676" spans="34:73" x14ac:dyDescent="0.25"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</row>
    <row r="677" spans="34:73" x14ac:dyDescent="0.25"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</row>
    <row r="678" spans="34:73" x14ac:dyDescent="0.25"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</row>
    <row r="679" spans="34:73" x14ac:dyDescent="0.25"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</row>
    <row r="680" spans="34:73" x14ac:dyDescent="0.25"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</row>
    <row r="681" spans="34:73" x14ac:dyDescent="0.25"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</row>
    <row r="682" spans="34:73" x14ac:dyDescent="0.25"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</row>
    <row r="683" spans="34:73" x14ac:dyDescent="0.25"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</row>
    <row r="684" spans="34:73" x14ac:dyDescent="0.25"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</row>
    <row r="685" spans="34:73" x14ac:dyDescent="0.25"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</row>
    <row r="686" spans="34:73" x14ac:dyDescent="0.25"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</row>
    <row r="687" spans="34:73" x14ac:dyDescent="0.25"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</row>
    <row r="688" spans="34:73" x14ac:dyDescent="0.25"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</row>
    <row r="689" spans="34:73" x14ac:dyDescent="0.25"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</row>
    <row r="690" spans="34:73" x14ac:dyDescent="0.25"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</row>
    <row r="691" spans="34:73" x14ac:dyDescent="0.25"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</row>
    <row r="692" spans="34:73" x14ac:dyDescent="0.25"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</row>
    <row r="693" spans="34:73" x14ac:dyDescent="0.25"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</row>
    <row r="694" spans="34:73" x14ac:dyDescent="0.25"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</row>
    <row r="695" spans="34:73" x14ac:dyDescent="0.25"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</row>
    <row r="696" spans="34:73" x14ac:dyDescent="0.25"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</row>
    <row r="697" spans="34:73" x14ac:dyDescent="0.25"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</row>
    <row r="698" spans="34:73" x14ac:dyDescent="0.25"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</row>
    <row r="699" spans="34:73" x14ac:dyDescent="0.25"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</row>
    <row r="700" spans="34:73" x14ac:dyDescent="0.25"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</row>
    <row r="701" spans="34:73" x14ac:dyDescent="0.25"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</row>
    <row r="702" spans="34:73" x14ac:dyDescent="0.25"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</row>
    <row r="703" spans="34:73" x14ac:dyDescent="0.25"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</row>
    <row r="704" spans="34:73" x14ac:dyDescent="0.25"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</row>
    <row r="705" spans="34:73" x14ac:dyDescent="0.25"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</row>
    <row r="706" spans="34:73" x14ac:dyDescent="0.25"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</row>
    <row r="707" spans="34:73" x14ac:dyDescent="0.25"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</row>
    <row r="708" spans="34:73" x14ac:dyDescent="0.25"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</row>
    <row r="709" spans="34:73" x14ac:dyDescent="0.25"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</row>
    <row r="710" spans="34:73" x14ac:dyDescent="0.25"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</row>
    <row r="711" spans="34:73" x14ac:dyDescent="0.25"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</row>
    <row r="712" spans="34:73" x14ac:dyDescent="0.25"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</row>
    <row r="713" spans="34:73" x14ac:dyDescent="0.25"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</row>
    <row r="714" spans="34:73" x14ac:dyDescent="0.25"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</row>
    <row r="715" spans="34:73" x14ac:dyDescent="0.25"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</row>
    <row r="716" spans="34:73" x14ac:dyDescent="0.25"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</row>
    <row r="717" spans="34:73" x14ac:dyDescent="0.25"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</row>
    <row r="718" spans="34:73" x14ac:dyDescent="0.25"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</row>
    <row r="719" spans="34:73" x14ac:dyDescent="0.25"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</row>
    <row r="720" spans="34:73" x14ac:dyDescent="0.25"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</row>
    <row r="721" spans="34:73" x14ac:dyDescent="0.25"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</row>
    <row r="722" spans="34:73" x14ac:dyDescent="0.25"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</row>
    <row r="723" spans="34:73" x14ac:dyDescent="0.25"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</row>
    <row r="724" spans="34:73" x14ac:dyDescent="0.25"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</row>
    <row r="725" spans="34:73" x14ac:dyDescent="0.25"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</row>
    <row r="726" spans="34:73" x14ac:dyDescent="0.25"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</row>
    <row r="727" spans="34:73" x14ac:dyDescent="0.25"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</row>
    <row r="728" spans="34:73" x14ac:dyDescent="0.25"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</row>
    <row r="729" spans="34:73" x14ac:dyDescent="0.25"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</row>
    <row r="730" spans="34:73" x14ac:dyDescent="0.25"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</row>
    <row r="731" spans="34:73" x14ac:dyDescent="0.25"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</row>
    <row r="732" spans="34:73" x14ac:dyDescent="0.25"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</row>
    <row r="733" spans="34:73" x14ac:dyDescent="0.25"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</row>
    <row r="734" spans="34:73" x14ac:dyDescent="0.25"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</row>
    <row r="735" spans="34:73" x14ac:dyDescent="0.25"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</row>
    <row r="736" spans="34:73" x14ac:dyDescent="0.25"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</row>
    <row r="737" spans="34:73" x14ac:dyDescent="0.25"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</row>
    <row r="738" spans="34:73" x14ac:dyDescent="0.25"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</row>
    <row r="739" spans="34:73" x14ac:dyDescent="0.25"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</row>
    <row r="740" spans="34:73" x14ac:dyDescent="0.25"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</row>
    <row r="741" spans="34:73" x14ac:dyDescent="0.25"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</row>
    <row r="742" spans="34:73" x14ac:dyDescent="0.25"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</row>
    <row r="743" spans="34:73" x14ac:dyDescent="0.25"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</row>
    <row r="744" spans="34:73" x14ac:dyDescent="0.25"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</row>
    <row r="745" spans="34:73" x14ac:dyDescent="0.25"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</row>
    <row r="746" spans="34:73" x14ac:dyDescent="0.25"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</row>
    <row r="747" spans="34:73" x14ac:dyDescent="0.25"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</row>
    <row r="748" spans="34:73" x14ac:dyDescent="0.25"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</row>
    <row r="749" spans="34:73" x14ac:dyDescent="0.25"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</row>
    <row r="750" spans="34:73" x14ac:dyDescent="0.25"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</row>
    <row r="751" spans="34:73" x14ac:dyDescent="0.25"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</row>
    <row r="752" spans="34:73" x14ac:dyDescent="0.25"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</row>
    <row r="753" spans="34:73" x14ac:dyDescent="0.25"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</row>
    <row r="754" spans="34:73" x14ac:dyDescent="0.25"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</row>
    <row r="755" spans="34:73" x14ac:dyDescent="0.25"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</row>
    <row r="756" spans="34:73" x14ac:dyDescent="0.25"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</row>
    <row r="757" spans="34:73" x14ac:dyDescent="0.25"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</row>
    <row r="758" spans="34:73" x14ac:dyDescent="0.25"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</row>
    <row r="759" spans="34:73" x14ac:dyDescent="0.25"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</row>
    <row r="760" spans="34:73" x14ac:dyDescent="0.25"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</row>
    <row r="761" spans="34:73" x14ac:dyDescent="0.25"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</row>
    <row r="762" spans="34:73" x14ac:dyDescent="0.25"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</row>
    <row r="763" spans="34:73" x14ac:dyDescent="0.25"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</row>
    <row r="764" spans="34:73" x14ac:dyDescent="0.25"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</row>
    <row r="765" spans="34:73" x14ac:dyDescent="0.25"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</row>
    <row r="766" spans="34:73" x14ac:dyDescent="0.25"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</row>
    <row r="767" spans="34:73" x14ac:dyDescent="0.25"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</row>
    <row r="768" spans="34:73" x14ac:dyDescent="0.25"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</row>
    <row r="769" spans="34:73" x14ac:dyDescent="0.25"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</row>
    <row r="770" spans="34:73" x14ac:dyDescent="0.25"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</row>
    <row r="771" spans="34:73" x14ac:dyDescent="0.25"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</row>
    <row r="772" spans="34:73" x14ac:dyDescent="0.25"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</row>
    <row r="773" spans="34:73" x14ac:dyDescent="0.25"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</row>
    <row r="774" spans="34:73" x14ac:dyDescent="0.25"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</row>
    <row r="775" spans="34:73" x14ac:dyDescent="0.25"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</row>
    <row r="776" spans="34:73" x14ac:dyDescent="0.25"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</row>
    <row r="777" spans="34:73" x14ac:dyDescent="0.25"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</row>
    <row r="778" spans="34:73" x14ac:dyDescent="0.25"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</row>
    <row r="779" spans="34:73" x14ac:dyDescent="0.25"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</row>
    <row r="780" spans="34:73" x14ac:dyDescent="0.25"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</row>
    <row r="781" spans="34:73" x14ac:dyDescent="0.25"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</row>
    <row r="782" spans="34:73" x14ac:dyDescent="0.25"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</row>
    <row r="783" spans="34:73" x14ac:dyDescent="0.25"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</row>
    <row r="784" spans="34:73" x14ac:dyDescent="0.25"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</row>
    <row r="785" spans="34:73" x14ac:dyDescent="0.25"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</row>
    <row r="786" spans="34:73" x14ac:dyDescent="0.25"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</row>
    <row r="787" spans="34:73" x14ac:dyDescent="0.25"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</row>
    <row r="788" spans="34:73" x14ac:dyDescent="0.25"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</row>
    <row r="789" spans="34:73" x14ac:dyDescent="0.25"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</row>
    <row r="790" spans="34:73" x14ac:dyDescent="0.25"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</row>
    <row r="791" spans="34:73" x14ac:dyDescent="0.25"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</row>
    <row r="792" spans="34:73" x14ac:dyDescent="0.25"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</row>
    <row r="793" spans="34:73" x14ac:dyDescent="0.25"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</row>
    <row r="794" spans="34:73" x14ac:dyDescent="0.25"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</row>
    <row r="795" spans="34:73" x14ac:dyDescent="0.25"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</row>
    <row r="796" spans="34:73" x14ac:dyDescent="0.25"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</row>
    <row r="797" spans="34:73" x14ac:dyDescent="0.25"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</row>
    <row r="798" spans="34:73" x14ac:dyDescent="0.25"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</row>
    <row r="799" spans="34:73" x14ac:dyDescent="0.25"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</row>
    <row r="800" spans="34:73" x14ac:dyDescent="0.25"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</row>
    <row r="801" spans="34:73" x14ac:dyDescent="0.25"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</row>
    <row r="802" spans="34:73" x14ac:dyDescent="0.25"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</row>
    <row r="803" spans="34:73" x14ac:dyDescent="0.25"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</row>
    <row r="804" spans="34:73" x14ac:dyDescent="0.25"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</row>
    <row r="805" spans="34:73" x14ac:dyDescent="0.25"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</row>
    <row r="806" spans="34:73" x14ac:dyDescent="0.25"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</row>
    <row r="807" spans="34:73" x14ac:dyDescent="0.25"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</row>
    <row r="808" spans="34:73" x14ac:dyDescent="0.25"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</row>
    <row r="809" spans="34:73" x14ac:dyDescent="0.25"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</row>
    <row r="810" spans="34:73" x14ac:dyDescent="0.25"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</row>
    <row r="811" spans="34:73" x14ac:dyDescent="0.25"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</row>
    <row r="812" spans="34:73" x14ac:dyDescent="0.25"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</row>
    <row r="813" spans="34:73" x14ac:dyDescent="0.25"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</row>
    <row r="814" spans="34:73" x14ac:dyDescent="0.25"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</row>
    <row r="815" spans="34:73" x14ac:dyDescent="0.25"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</row>
    <row r="816" spans="34:73" x14ac:dyDescent="0.25"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</row>
    <row r="817" spans="34:73" x14ac:dyDescent="0.25"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</row>
    <row r="818" spans="34:73" x14ac:dyDescent="0.25"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</row>
    <row r="819" spans="34:73" x14ac:dyDescent="0.25"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</row>
    <row r="820" spans="34:73" x14ac:dyDescent="0.25"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</row>
    <row r="821" spans="34:73" x14ac:dyDescent="0.25"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</row>
    <row r="822" spans="34:73" x14ac:dyDescent="0.25"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</row>
    <row r="823" spans="34:73" x14ac:dyDescent="0.25"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</row>
    <row r="824" spans="34:73" x14ac:dyDescent="0.25"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</row>
    <row r="825" spans="34:73" x14ac:dyDescent="0.25"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</row>
    <row r="826" spans="34:73" x14ac:dyDescent="0.25"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</row>
    <row r="827" spans="34:73" x14ac:dyDescent="0.25"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</row>
    <row r="828" spans="34:73" x14ac:dyDescent="0.25"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</row>
    <row r="829" spans="34:73" x14ac:dyDescent="0.25"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</row>
    <row r="830" spans="34:73" x14ac:dyDescent="0.25"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</row>
    <row r="831" spans="34:73" x14ac:dyDescent="0.25"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</row>
    <row r="832" spans="34:73" x14ac:dyDescent="0.25"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</row>
    <row r="833" spans="34:73" x14ac:dyDescent="0.25"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</row>
    <row r="834" spans="34:73" x14ac:dyDescent="0.25"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</row>
    <row r="835" spans="34:73" x14ac:dyDescent="0.25"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</row>
    <row r="836" spans="34:73" x14ac:dyDescent="0.25"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</row>
    <row r="837" spans="34:73" x14ac:dyDescent="0.25"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</row>
    <row r="838" spans="34:73" x14ac:dyDescent="0.25"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</row>
    <row r="839" spans="34:73" x14ac:dyDescent="0.25"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</row>
    <row r="840" spans="34:73" x14ac:dyDescent="0.25"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</row>
    <row r="841" spans="34:73" x14ac:dyDescent="0.25"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</row>
    <row r="842" spans="34:73" x14ac:dyDescent="0.25"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</row>
    <row r="843" spans="34:73" x14ac:dyDescent="0.25"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</row>
    <row r="844" spans="34:73" x14ac:dyDescent="0.25"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</row>
    <row r="845" spans="34:73" x14ac:dyDescent="0.25"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</row>
    <row r="846" spans="34:73" x14ac:dyDescent="0.25"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</row>
    <row r="847" spans="34:73" x14ac:dyDescent="0.25"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</row>
    <row r="848" spans="34:73" x14ac:dyDescent="0.25"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</row>
    <row r="849" spans="34:73" x14ac:dyDescent="0.25"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</row>
    <row r="850" spans="34:73" x14ac:dyDescent="0.25"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</row>
    <row r="851" spans="34:73" x14ac:dyDescent="0.25"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</row>
    <row r="852" spans="34:73" x14ac:dyDescent="0.25"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</row>
    <row r="853" spans="34:73" x14ac:dyDescent="0.25"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</row>
    <row r="854" spans="34:73" x14ac:dyDescent="0.25"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</row>
    <row r="855" spans="34:73" x14ac:dyDescent="0.25"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</row>
    <row r="856" spans="34:73" x14ac:dyDescent="0.25"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</row>
    <row r="857" spans="34:73" x14ac:dyDescent="0.25"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</row>
    <row r="858" spans="34:73" x14ac:dyDescent="0.25"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</row>
    <row r="859" spans="34:73" x14ac:dyDescent="0.25"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</row>
    <row r="860" spans="34:73" x14ac:dyDescent="0.25"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</row>
    <row r="861" spans="34:73" x14ac:dyDescent="0.25"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</row>
    <row r="862" spans="34:73" x14ac:dyDescent="0.25"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</row>
    <row r="863" spans="34:73" x14ac:dyDescent="0.25"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</row>
    <row r="864" spans="34:73" x14ac:dyDescent="0.25"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</row>
    <row r="865" spans="34:73" x14ac:dyDescent="0.25"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</row>
    <row r="866" spans="34:73" x14ac:dyDescent="0.25"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</row>
    <row r="867" spans="34:73" x14ac:dyDescent="0.25"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</row>
    <row r="868" spans="34:73" x14ac:dyDescent="0.25"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</row>
    <row r="869" spans="34:73" x14ac:dyDescent="0.25"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</row>
    <row r="870" spans="34:73" x14ac:dyDescent="0.25"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</row>
    <row r="871" spans="34:73" x14ac:dyDescent="0.25"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</row>
    <row r="872" spans="34:73" x14ac:dyDescent="0.25"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</row>
    <row r="873" spans="34:73" x14ac:dyDescent="0.25"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</row>
    <row r="874" spans="34:73" x14ac:dyDescent="0.25"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</row>
    <row r="875" spans="34:73" x14ac:dyDescent="0.25"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</row>
    <row r="876" spans="34:73" x14ac:dyDescent="0.25"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</row>
    <row r="877" spans="34:73" x14ac:dyDescent="0.25"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</row>
    <row r="878" spans="34:73" x14ac:dyDescent="0.25"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</row>
    <row r="879" spans="34:73" x14ac:dyDescent="0.25"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</row>
    <row r="880" spans="34:73" x14ac:dyDescent="0.25"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</row>
    <row r="881" spans="34:73" x14ac:dyDescent="0.25"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</row>
    <row r="882" spans="34:73" x14ac:dyDescent="0.25"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</row>
    <row r="883" spans="34:73" x14ac:dyDescent="0.25"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</row>
    <row r="884" spans="34:73" x14ac:dyDescent="0.25"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</row>
    <row r="885" spans="34:73" x14ac:dyDescent="0.25"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</row>
    <row r="886" spans="34:73" x14ac:dyDescent="0.25"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</row>
    <row r="887" spans="34:73" x14ac:dyDescent="0.25"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</row>
    <row r="888" spans="34:73" x14ac:dyDescent="0.25"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</row>
    <row r="889" spans="34:73" x14ac:dyDescent="0.25"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</row>
    <row r="890" spans="34:73" x14ac:dyDescent="0.25"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</row>
    <row r="891" spans="34:73" x14ac:dyDescent="0.25"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</row>
    <row r="892" spans="34:73" x14ac:dyDescent="0.25"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</row>
    <row r="893" spans="34:73" x14ac:dyDescent="0.25"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</row>
    <row r="894" spans="34:73" x14ac:dyDescent="0.25"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</row>
    <row r="895" spans="34:73" x14ac:dyDescent="0.25"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</row>
    <row r="896" spans="34:73" x14ac:dyDescent="0.25"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</row>
    <row r="897" spans="34:73" x14ac:dyDescent="0.25"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</row>
    <row r="898" spans="34:73" x14ac:dyDescent="0.25"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</row>
    <row r="899" spans="34:73" x14ac:dyDescent="0.25"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</row>
    <row r="900" spans="34:73" x14ac:dyDescent="0.25"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</row>
    <row r="901" spans="34:73" x14ac:dyDescent="0.25"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</row>
    <row r="902" spans="34:73" x14ac:dyDescent="0.25"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</row>
    <row r="903" spans="34:73" x14ac:dyDescent="0.25"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</row>
    <row r="904" spans="34:73" x14ac:dyDescent="0.25"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</row>
    <row r="905" spans="34:73" x14ac:dyDescent="0.25"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</row>
    <row r="906" spans="34:73" x14ac:dyDescent="0.25"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</row>
    <row r="907" spans="34:73" x14ac:dyDescent="0.25"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</row>
    <row r="908" spans="34:73" x14ac:dyDescent="0.25"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</row>
    <row r="909" spans="34:73" x14ac:dyDescent="0.25"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</row>
    <row r="910" spans="34:73" x14ac:dyDescent="0.25"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</row>
    <row r="911" spans="34:73" x14ac:dyDescent="0.25"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</row>
    <row r="912" spans="34:73" x14ac:dyDescent="0.25"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</row>
    <row r="913" spans="34:73" x14ac:dyDescent="0.25"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</row>
    <row r="914" spans="34:73" x14ac:dyDescent="0.25"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</row>
    <row r="915" spans="34:73" x14ac:dyDescent="0.25"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</row>
    <row r="916" spans="34:73" x14ac:dyDescent="0.25"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</row>
    <row r="917" spans="34:73" x14ac:dyDescent="0.25"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</row>
    <row r="918" spans="34:73" x14ac:dyDescent="0.25"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</row>
    <row r="919" spans="34:73" x14ac:dyDescent="0.25"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</row>
    <row r="920" spans="34:73" x14ac:dyDescent="0.25"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</row>
    <row r="921" spans="34:73" x14ac:dyDescent="0.25"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</row>
    <row r="922" spans="34:73" x14ac:dyDescent="0.25"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</row>
    <row r="923" spans="34:73" x14ac:dyDescent="0.25"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</row>
    <row r="924" spans="34:73" x14ac:dyDescent="0.25"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</row>
    <row r="925" spans="34:73" x14ac:dyDescent="0.25"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</row>
    <row r="926" spans="34:73" x14ac:dyDescent="0.25"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</row>
    <row r="927" spans="34:73" x14ac:dyDescent="0.25"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</row>
    <row r="928" spans="34:73" x14ac:dyDescent="0.25"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</row>
    <row r="929" spans="34:73" x14ac:dyDescent="0.25"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</row>
    <row r="930" spans="34:73" x14ac:dyDescent="0.25"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</row>
    <row r="931" spans="34:73" x14ac:dyDescent="0.25"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</row>
    <row r="932" spans="34:73" x14ac:dyDescent="0.25"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</row>
    <row r="933" spans="34:73" x14ac:dyDescent="0.25"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</row>
    <row r="934" spans="34:73" x14ac:dyDescent="0.25"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</row>
    <row r="935" spans="34:73" x14ac:dyDescent="0.25"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</row>
    <row r="936" spans="34:73" x14ac:dyDescent="0.25"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</row>
    <row r="937" spans="34:73" x14ac:dyDescent="0.25"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</row>
    <row r="938" spans="34:73" x14ac:dyDescent="0.25"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</row>
    <row r="939" spans="34:73" x14ac:dyDescent="0.25"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</row>
    <row r="940" spans="34:73" x14ac:dyDescent="0.25"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</row>
    <row r="941" spans="34:73" x14ac:dyDescent="0.25"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</row>
    <row r="942" spans="34:73" x14ac:dyDescent="0.25"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</row>
    <row r="943" spans="34:73" x14ac:dyDescent="0.25"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</row>
    <row r="944" spans="34:73" x14ac:dyDescent="0.25"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</row>
    <row r="945" spans="34:73" x14ac:dyDescent="0.25"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</row>
    <row r="946" spans="34:73" x14ac:dyDescent="0.25"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</row>
    <row r="947" spans="34:73" x14ac:dyDescent="0.25"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</row>
    <row r="948" spans="34:73" x14ac:dyDescent="0.25"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</row>
    <row r="949" spans="34:73" x14ac:dyDescent="0.25"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</row>
    <row r="950" spans="34:73" x14ac:dyDescent="0.25"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</row>
    <row r="951" spans="34:73" x14ac:dyDescent="0.25"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</row>
    <row r="952" spans="34:73" x14ac:dyDescent="0.25"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</row>
    <row r="953" spans="34:73" x14ac:dyDescent="0.25"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</row>
    <row r="954" spans="34:73" x14ac:dyDescent="0.25"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</row>
    <row r="955" spans="34:73" x14ac:dyDescent="0.25"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</row>
    <row r="956" spans="34:73" x14ac:dyDescent="0.25"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</row>
    <row r="957" spans="34:73" x14ac:dyDescent="0.25"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</row>
    <row r="958" spans="34:73" x14ac:dyDescent="0.25"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</row>
    <row r="959" spans="34:73" x14ac:dyDescent="0.25"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</row>
    <row r="960" spans="34:73" x14ac:dyDescent="0.25"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</row>
    <row r="961" spans="34:73" x14ac:dyDescent="0.25"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</row>
    <row r="962" spans="34:73" x14ac:dyDescent="0.25"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</row>
    <row r="963" spans="34:73" x14ac:dyDescent="0.25"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</row>
    <row r="964" spans="34:73" x14ac:dyDescent="0.25"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</row>
    <row r="965" spans="34:73" x14ac:dyDescent="0.25"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</row>
    <row r="966" spans="34:73" x14ac:dyDescent="0.25"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</row>
    <row r="967" spans="34:73" x14ac:dyDescent="0.25"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</row>
    <row r="968" spans="34:73" x14ac:dyDescent="0.25"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</row>
    <row r="969" spans="34:73" x14ac:dyDescent="0.25"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</row>
    <row r="970" spans="34:73" x14ac:dyDescent="0.25"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</row>
    <row r="971" spans="34:73" x14ac:dyDescent="0.25"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</row>
    <row r="972" spans="34:73" x14ac:dyDescent="0.25"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</row>
    <row r="973" spans="34:73" x14ac:dyDescent="0.25"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</row>
    <row r="974" spans="34:73" x14ac:dyDescent="0.25"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</row>
    <row r="975" spans="34:73" x14ac:dyDescent="0.25"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</row>
    <row r="976" spans="34:73" x14ac:dyDescent="0.25"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</row>
    <row r="977" spans="34:73" x14ac:dyDescent="0.25"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</row>
    <row r="978" spans="34:73" x14ac:dyDescent="0.25"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</row>
    <row r="979" spans="34:73" x14ac:dyDescent="0.25"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</row>
    <row r="980" spans="34:73" x14ac:dyDescent="0.25"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</row>
    <row r="981" spans="34:73" x14ac:dyDescent="0.25"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</row>
    <row r="982" spans="34:73" x14ac:dyDescent="0.25"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</row>
    <row r="983" spans="34:73" x14ac:dyDescent="0.25"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</row>
    <row r="984" spans="34:73" x14ac:dyDescent="0.25"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</row>
    <row r="985" spans="34:73" x14ac:dyDescent="0.25"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</row>
    <row r="986" spans="34:73" x14ac:dyDescent="0.25"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</row>
    <row r="987" spans="34:73" x14ac:dyDescent="0.25"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</row>
    <row r="988" spans="34:73" x14ac:dyDescent="0.25"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</row>
    <row r="989" spans="34:73" x14ac:dyDescent="0.25"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</row>
    <row r="990" spans="34:73" x14ac:dyDescent="0.25"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</row>
    <row r="991" spans="34:73" x14ac:dyDescent="0.25"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</row>
    <row r="992" spans="34:73" x14ac:dyDescent="0.25"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</row>
    <row r="993" spans="34:73" x14ac:dyDescent="0.25"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</row>
    <row r="994" spans="34:73" x14ac:dyDescent="0.25"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</row>
    <row r="995" spans="34:73" x14ac:dyDescent="0.25"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</row>
    <row r="996" spans="34:73" x14ac:dyDescent="0.25"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</row>
    <row r="997" spans="34:73" x14ac:dyDescent="0.25"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</row>
    <row r="998" spans="34:73" x14ac:dyDescent="0.25"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</row>
    <row r="999" spans="34:73" x14ac:dyDescent="0.25"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</row>
    <row r="1000" spans="34:73" x14ac:dyDescent="0.25"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</row>
    <row r="1001" spans="34:73" x14ac:dyDescent="0.25"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  <c r="BG1001" s="29"/>
      <c r="BH1001" s="29"/>
      <c r="BI1001" s="29"/>
      <c r="BJ1001" s="29"/>
      <c r="BK1001" s="29"/>
      <c r="BL1001" s="29"/>
      <c r="BM1001" s="29"/>
      <c r="BN1001" s="29"/>
      <c r="BO1001" s="29"/>
      <c r="BP1001" s="29"/>
      <c r="BQ1001" s="29"/>
      <c r="BR1001" s="29"/>
      <c r="BS1001" s="29"/>
      <c r="BT1001" s="29"/>
      <c r="BU1001" s="29"/>
    </row>
    <row r="1002" spans="34:73" x14ac:dyDescent="0.25"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  <c r="BG1002" s="29"/>
      <c r="BH1002" s="29"/>
      <c r="BI1002" s="29"/>
      <c r="BJ1002" s="29"/>
      <c r="BK1002" s="29"/>
      <c r="BL1002" s="29"/>
      <c r="BM1002" s="29"/>
      <c r="BN1002" s="29"/>
      <c r="BO1002" s="29"/>
      <c r="BP1002" s="29"/>
      <c r="BQ1002" s="29"/>
      <c r="BR1002" s="29"/>
      <c r="BS1002" s="29"/>
      <c r="BT1002" s="29"/>
      <c r="BU1002" s="29"/>
    </row>
    <row r="1003" spans="34:73" x14ac:dyDescent="0.25"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29"/>
      <c r="BI1003" s="29"/>
      <c r="BJ1003" s="29"/>
      <c r="BK1003" s="29"/>
      <c r="BL1003" s="29"/>
      <c r="BM1003" s="29"/>
      <c r="BN1003" s="29"/>
      <c r="BO1003" s="29"/>
      <c r="BP1003" s="29"/>
      <c r="BQ1003" s="29"/>
      <c r="BR1003" s="29"/>
      <c r="BS1003" s="29"/>
      <c r="BT1003" s="29"/>
      <c r="BU1003" s="29"/>
    </row>
    <row r="1004" spans="34:73" x14ac:dyDescent="0.25"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/>
      <c r="BB1004" s="29"/>
      <c r="BC1004" s="29"/>
      <c r="BD1004" s="29"/>
      <c r="BE1004" s="29"/>
      <c r="BF1004" s="29"/>
      <c r="BG1004" s="29"/>
      <c r="BH1004" s="29"/>
      <c r="BI1004" s="29"/>
      <c r="BJ1004" s="29"/>
      <c r="BK1004" s="29"/>
      <c r="BL1004" s="29"/>
      <c r="BM1004" s="29"/>
      <c r="BN1004" s="29"/>
      <c r="BO1004" s="29"/>
      <c r="BP1004" s="29"/>
      <c r="BQ1004" s="29"/>
      <c r="BR1004" s="29"/>
      <c r="BS1004" s="29"/>
      <c r="BT1004" s="29"/>
      <c r="BU1004" s="29"/>
    </row>
    <row r="1005" spans="34:73" x14ac:dyDescent="0.25"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/>
      <c r="BB1005" s="29"/>
      <c r="BC1005" s="29"/>
      <c r="BD1005" s="29"/>
      <c r="BE1005" s="29"/>
      <c r="BF1005" s="29"/>
      <c r="BG1005" s="29"/>
      <c r="BH1005" s="29"/>
      <c r="BI1005" s="29"/>
      <c r="BJ1005" s="29"/>
      <c r="BK1005" s="29"/>
      <c r="BL1005" s="29"/>
      <c r="BM1005" s="29"/>
      <c r="BN1005" s="29"/>
      <c r="BO1005" s="29"/>
      <c r="BP1005" s="29"/>
      <c r="BQ1005" s="29"/>
      <c r="BR1005" s="29"/>
      <c r="BS1005" s="29"/>
      <c r="BT1005" s="29"/>
      <c r="BU1005" s="29"/>
    </row>
    <row r="1006" spans="34:73" x14ac:dyDescent="0.25"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29"/>
      <c r="BD1006" s="29"/>
      <c r="BE1006" s="29"/>
      <c r="BF1006" s="29"/>
      <c r="BG1006" s="29"/>
      <c r="BH1006" s="29"/>
      <c r="BI1006" s="29"/>
      <c r="BJ1006" s="29"/>
      <c r="BK1006" s="29"/>
      <c r="BL1006" s="29"/>
      <c r="BM1006" s="29"/>
      <c r="BN1006" s="29"/>
      <c r="BO1006" s="29"/>
      <c r="BP1006" s="29"/>
      <c r="BQ1006" s="29"/>
      <c r="BR1006" s="29"/>
      <c r="BS1006" s="29"/>
      <c r="BT1006" s="29"/>
      <c r="BU1006" s="29"/>
    </row>
    <row r="1007" spans="34:73" x14ac:dyDescent="0.25"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29"/>
      <c r="BD1007" s="29"/>
      <c r="BE1007" s="29"/>
      <c r="BF1007" s="29"/>
      <c r="BG1007" s="29"/>
      <c r="BH1007" s="29"/>
      <c r="BI1007" s="29"/>
      <c r="BJ1007" s="29"/>
      <c r="BK1007" s="29"/>
      <c r="BL1007" s="29"/>
      <c r="BM1007" s="29"/>
      <c r="BN1007" s="29"/>
      <c r="BO1007" s="29"/>
      <c r="BP1007" s="29"/>
      <c r="BQ1007" s="29"/>
      <c r="BR1007" s="29"/>
      <c r="BS1007" s="29"/>
      <c r="BT1007" s="29"/>
      <c r="BU1007" s="29"/>
    </row>
    <row r="1008" spans="34:73" x14ac:dyDescent="0.25"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29"/>
      <c r="BE1008" s="29"/>
      <c r="BF1008" s="29"/>
      <c r="BG1008" s="29"/>
      <c r="BH1008" s="29"/>
      <c r="BI1008" s="29"/>
      <c r="BJ1008" s="29"/>
      <c r="BK1008" s="29"/>
      <c r="BL1008" s="29"/>
      <c r="BM1008" s="29"/>
      <c r="BN1008" s="29"/>
      <c r="BO1008" s="29"/>
      <c r="BP1008" s="29"/>
      <c r="BQ1008" s="29"/>
      <c r="BR1008" s="29"/>
      <c r="BS1008" s="29"/>
      <c r="BT1008" s="29"/>
      <c r="BU1008" s="29"/>
    </row>
    <row r="1009" spans="34:73" x14ac:dyDescent="0.25"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29"/>
      <c r="BD1009" s="29"/>
      <c r="BE1009" s="29"/>
      <c r="BF1009" s="29"/>
      <c r="BG1009" s="29"/>
      <c r="BH1009" s="29"/>
      <c r="BI1009" s="29"/>
      <c r="BJ1009" s="29"/>
      <c r="BK1009" s="29"/>
      <c r="BL1009" s="29"/>
      <c r="BM1009" s="29"/>
      <c r="BN1009" s="29"/>
      <c r="BO1009" s="29"/>
      <c r="BP1009" s="29"/>
      <c r="BQ1009" s="29"/>
      <c r="BR1009" s="29"/>
      <c r="BS1009" s="29"/>
      <c r="BT1009" s="29"/>
      <c r="BU1009" s="29"/>
    </row>
    <row r="1010" spans="34:73" x14ac:dyDescent="0.25"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29"/>
      <c r="BD1010" s="29"/>
      <c r="BE1010" s="29"/>
      <c r="BF1010" s="29"/>
      <c r="BG1010" s="29"/>
      <c r="BH1010" s="29"/>
      <c r="BI1010" s="29"/>
      <c r="BJ1010" s="29"/>
      <c r="BK1010" s="29"/>
      <c r="BL1010" s="29"/>
      <c r="BM1010" s="29"/>
      <c r="BN1010" s="29"/>
      <c r="BO1010" s="29"/>
      <c r="BP1010" s="29"/>
      <c r="BQ1010" s="29"/>
      <c r="BR1010" s="29"/>
      <c r="BS1010" s="29"/>
      <c r="BT1010" s="29"/>
      <c r="BU1010" s="29"/>
    </row>
    <row r="1011" spans="34:73" x14ac:dyDescent="0.25"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29"/>
      <c r="BD1011" s="29"/>
      <c r="BE1011" s="29"/>
      <c r="BF1011" s="29"/>
      <c r="BG1011" s="29"/>
      <c r="BH1011" s="29"/>
      <c r="BI1011" s="29"/>
      <c r="BJ1011" s="29"/>
      <c r="BK1011" s="29"/>
      <c r="BL1011" s="29"/>
      <c r="BM1011" s="29"/>
      <c r="BN1011" s="29"/>
      <c r="BO1011" s="29"/>
      <c r="BP1011" s="29"/>
      <c r="BQ1011" s="29"/>
      <c r="BR1011" s="29"/>
      <c r="BS1011" s="29"/>
      <c r="BT1011" s="29"/>
      <c r="BU1011" s="29"/>
    </row>
    <row r="1012" spans="34:73" x14ac:dyDescent="0.25"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  <c r="BB1012" s="29"/>
      <c r="BC1012" s="29"/>
      <c r="BD1012" s="29"/>
      <c r="BE1012" s="29"/>
      <c r="BF1012" s="29"/>
      <c r="BG1012" s="29"/>
      <c r="BH1012" s="29"/>
      <c r="BI1012" s="29"/>
      <c r="BJ1012" s="29"/>
      <c r="BK1012" s="29"/>
      <c r="BL1012" s="29"/>
      <c r="BM1012" s="29"/>
      <c r="BN1012" s="29"/>
      <c r="BO1012" s="29"/>
      <c r="BP1012" s="29"/>
      <c r="BQ1012" s="29"/>
      <c r="BR1012" s="29"/>
      <c r="BS1012" s="29"/>
      <c r="BT1012" s="29"/>
      <c r="BU1012" s="29"/>
    </row>
    <row r="1013" spans="34:73" x14ac:dyDescent="0.25"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  <c r="BB1013" s="29"/>
      <c r="BC1013" s="29"/>
      <c r="BD1013" s="29"/>
      <c r="BE1013" s="29"/>
      <c r="BF1013" s="29"/>
      <c r="BG1013" s="29"/>
      <c r="BH1013" s="29"/>
      <c r="BI1013" s="29"/>
      <c r="BJ1013" s="29"/>
      <c r="BK1013" s="29"/>
      <c r="BL1013" s="29"/>
      <c r="BM1013" s="29"/>
      <c r="BN1013" s="29"/>
      <c r="BO1013" s="29"/>
      <c r="BP1013" s="29"/>
      <c r="BQ1013" s="29"/>
      <c r="BR1013" s="29"/>
      <c r="BS1013" s="29"/>
      <c r="BT1013" s="29"/>
      <c r="BU1013" s="29"/>
    </row>
    <row r="1014" spans="34:73" x14ac:dyDescent="0.25"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29"/>
      <c r="BD1014" s="29"/>
      <c r="BE1014" s="29"/>
      <c r="BF1014" s="29"/>
      <c r="BG1014" s="29"/>
      <c r="BH1014" s="29"/>
      <c r="BI1014" s="29"/>
      <c r="BJ1014" s="29"/>
      <c r="BK1014" s="29"/>
      <c r="BL1014" s="29"/>
      <c r="BM1014" s="29"/>
      <c r="BN1014" s="29"/>
      <c r="BO1014" s="29"/>
      <c r="BP1014" s="29"/>
      <c r="BQ1014" s="29"/>
      <c r="BR1014" s="29"/>
      <c r="BS1014" s="29"/>
      <c r="BT1014" s="29"/>
      <c r="BU1014" s="29"/>
    </row>
    <row r="1015" spans="34:73" x14ac:dyDescent="0.25"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  <c r="BB1015" s="29"/>
      <c r="BC1015" s="29"/>
      <c r="BD1015" s="29"/>
      <c r="BE1015" s="29"/>
      <c r="BF1015" s="29"/>
      <c r="BG1015" s="29"/>
      <c r="BH1015" s="29"/>
      <c r="BI1015" s="29"/>
      <c r="BJ1015" s="29"/>
      <c r="BK1015" s="29"/>
      <c r="BL1015" s="29"/>
      <c r="BM1015" s="29"/>
      <c r="BN1015" s="29"/>
      <c r="BO1015" s="29"/>
      <c r="BP1015" s="29"/>
      <c r="BQ1015" s="29"/>
      <c r="BR1015" s="29"/>
      <c r="BS1015" s="29"/>
      <c r="BT1015" s="29"/>
      <c r="BU1015" s="29"/>
    </row>
    <row r="1016" spans="34:73" x14ac:dyDescent="0.25"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  <c r="BB1016" s="29"/>
      <c r="BC1016" s="29"/>
      <c r="BD1016" s="29"/>
      <c r="BE1016" s="29"/>
      <c r="BF1016" s="29"/>
      <c r="BG1016" s="29"/>
      <c r="BH1016" s="29"/>
      <c r="BI1016" s="29"/>
      <c r="BJ1016" s="29"/>
      <c r="BK1016" s="29"/>
      <c r="BL1016" s="29"/>
      <c r="BM1016" s="29"/>
      <c r="BN1016" s="29"/>
      <c r="BO1016" s="29"/>
      <c r="BP1016" s="29"/>
      <c r="BQ1016" s="29"/>
      <c r="BR1016" s="29"/>
      <c r="BS1016" s="29"/>
      <c r="BT1016" s="29"/>
      <c r="BU1016" s="29"/>
    </row>
    <row r="1017" spans="34:73" x14ac:dyDescent="0.25"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29"/>
      <c r="BD1017" s="29"/>
      <c r="BE1017" s="29"/>
      <c r="BF1017" s="29"/>
      <c r="BG1017" s="29"/>
      <c r="BH1017" s="29"/>
      <c r="BI1017" s="29"/>
      <c r="BJ1017" s="29"/>
      <c r="BK1017" s="29"/>
      <c r="BL1017" s="29"/>
      <c r="BM1017" s="29"/>
      <c r="BN1017" s="29"/>
      <c r="BO1017" s="29"/>
      <c r="BP1017" s="29"/>
      <c r="BQ1017" s="29"/>
      <c r="BR1017" s="29"/>
      <c r="BS1017" s="29"/>
      <c r="BT1017" s="29"/>
      <c r="BU1017" s="29"/>
    </row>
    <row r="1018" spans="34:73" x14ac:dyDescent="0.25"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  <c r="BB1018" s="29"/>
      <c r="BC1018" s="29"/>
      <c r="BD1018" s="29"/>
      <c r="BE1018" s="29"/>
      <c r="BF1018" s="29"/>
      <c r="BG1018" s="29"/>
      <c r="BH1018" s="29"/>
      <c r="BI1018" s="29"/>
      <c r="BJ1018" s="29"/>
      <c r="BK1018" s="29"/>
      <c r="BL1018" s="29"/>
      <c r="BM1018" s="29"/>
      <c r="BN1018" s="29"/>
      <c r="BO1018" s="29"/>
      <c r="BP1018" s="29"/>
      <c r="BQ1018" s="29"/>
      <c r="BR1018" s="29"/>
      <c r="BS1018" s="29"/>
      <c r="BT1018" s="29"/>
      <c r="BU1018" s="29"/>
    </row>
    <row r="1019" spans="34:73" x14ac:dyDescent="0.25"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29"/>
      <c r="BD1019" s="29"/>
      <c r="BE1019" s="29"/>
      <c r="BF1019" s="29"/>
      <c r="BG1019" s="29"/>
      <c r="BH1019" s="29"/>
      <c r="BI1019" s="29"/>
      <c r="BJ1019" s="29"/>
      <c r="BK1019" s="29"/>
      <c r="BL1019" s="29"/>
      <c r="BM1019" s="29"/>
      <c r="BN1019" s="29"/>
      <c r="BO1019" s="29"/>
      <c r="BP1019" s="29"/>
      <c r="BQ1019" s="29"/>
      <c r="BR1019" s="29"/>
      <c r="BS1019" s="29"/>
      <c r="BT1019" s="29"/>
      <c r="BU1019" s="29"/>
    </row>
    <row r="1020" spans="34:73" x14ac:dyDescent="0.25"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  <c r="BB1020" s="29"/>
      <c r="BC1020" s="29"/>
      <c r="BD1020" s="29"/>
      <c r="BE1020" s="29"/>
      <c r="BF1020" s="29"/>
      <c r="BG1020" s="29"/>
      <c r="BH1020" s="29"/>
      <c r="BI1020" s="29"/>
      <c r="BJ1020" s="29"/>
      <c r="BK1020" s="29"/>
      <c r="BL1020" s="29"/>
      <c r="BM1020" s="29"/>
      <c r="BN1020" s="29"/>
      <c r="BO1020" s="29"/>
      <c r="BP1020" s="29"/>
      <c r="BQ1020" s="29"/>
      <c r="BR1020" s="29"/>
      <c r="BS1020" s="29"/>
      <c r="BT1020" s="29"/>
      <c r="BU1020" s="29"/>
    </row>
    <row r="1021" spans="34:73" x14ac:dyDescent="0.25"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  <c r="BB1021" s="29"/>
      <c r="BC1021" s="29"/>
      <c r="BD1021" s="29"/>
      <c r="BE1021" s="29"/>
      <c r="BF1021" s="29"/>
      <c r="BG1021" s="29"/>
      <c r="BH1021" s="29"/>
      <c r="BI1021" s="29"/>
      <c r="BJ1021" s="29"/>
      <c r="BK1021" s="29"/>
      <c r="BL1021" s="29"/>
      <c r="BM1021" s="29"/>
      <c r="BN1021" s="29"/>
      <c r="BO1021" s="29"/>
      <c r="BP1021" s="29"/>
      <c r="BQ1021" s="29"/>
      <c r="BR1021" s="29"/>
      <c r="BS1021" s="29"/>
      <c r="BT1021" s="29"/>
      <c r="BU1021" s="29"/>
    </row>
    <row r="1022" spans="34:73" x14ac:dyDescent="0.25"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29"/>
      <c r="BE1022" s="29"/>
      <c r="BF1022" s="29"/>
      <c r="BG1022" s="29"/>
      <c r="BH1022" s="29"/>
      <c r="BI1022" s="29"/>
      <c r="BJ1022" s="29"/>
      <c r="BK1022" s="29"/>
      <c r="BL1022" s="29"/>
      <c r="BM1022" s="29"/>
      <c r="BN1022" s="29"/>
      <c r="BO1022" s="29"/>
      <c r="BP1022" s="29"/>
      <c r="BQ1022" s="29"/>
      <c r="BR1022" s="29"/>
      <c r="BS1022" s="29"/>
      <c r="BT1022" s="29"/>
      <c r="BU1022" s="29"/>
    </row>
    <row r="1023" spans="34:73" x14ac:dyDescent="0.25"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29"/>
      <c r="BE1023" s="29"/>
      <c r="BF1023" s="29"/>
      <c r="BG1023" s="29"/>
      <c r="BH1023" s="29"/>
      <c r="BI1023" s="29"/>
      <c r="BJ1023" s="29"/>
      <c r="BK1023" s="29"/>
      <c r="BL1023" s="29"/>
      <c r="BM1023" s="29"/>
      <c r="BN1023" s="29"/>
      <c r="BO1023" s="29"/>
      <c r="BP1023" s="29"/>
      <c r="BQ1023" s="29"/>
      <c r="BR1023" s="29"/>
      <c r="BS1023" s="29"/>
      <c r="BT1023" s="29"/>
      <c r="BU1023" s="29"/>
    </row>
    <row r="1024" spans="34:73" x14ac:dyDescent="0.25"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  <c r="BB1024" s="29"/>
      <c r="BC1024" s="29"/>
      <c r="BD1024" s="29"/>
      <c r="BE1024" s="29"/>
      <c r="BF1024" s="29"/>
      <c r="BG1024" s="29"/>
      <c r="BH1024" s="29"/>
      <c r="BI1024" s="29"/>
      <c r="BJ1024" s="29"/>
      <c r="BK1024" s="29"/>
      <c r="BL1024" s="29"/>
      <c r="BM1024" s="29"/>
      <c r="BN1024" s="29"/>
      <c r="BO1024" s="29"/>
      <c r="BP1024" s="29"/>
      <c r="BQ1024" s="29"/>
      <c r="BR1024" s="29"/>
      <c r="BS1024" s="29"/>
      <c r="BT1024" s="29"/>
      <c r="BU1024" s="29"/>
    </row>
    <row r="1025" spans="34:73" x14ac:dyDescent="0.25"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  <c r="BB1025" s="29"/>
      <c r="BC1025" s="29"/>
      <c r="BD1025" s="29"/>
      <c r="BE1025" s="29"/>
      <c r="BF1025" s="29"/>
      <c r="BG1025" s="29"/>
      <c r="BH1025" s="29"/>
      <c r="BI1025" s="29"/>
      <c r="BJ1025" s="29"/>
      <c r="BK1025" s="29"/>
      <c r="BL1025" s="29"/>
      <c r="BM1025" s="29"/>
      <c r="BN1025" s="29"/>
      <c r="BO1025" s="29"/>
      <c r="BP1025" s="29"/>
      <c r="BQ1025" s="29"/>
      <c r="BR1025" s="29"/>
      <c r="BS1025" s="29"/>
      <c r="BT1025" s="29"/>
      <c r="BU1025" s="29"/>
    </row>
    <row r="1026" spans="34:73" x14ac:dyDescent="0.25"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  <c r="AT1026" s="29"/>
      <c r="AU1026" s="29"/>
      <c r="AV1026" s="29"/>
      <c r="AW1026" s="29"/>
      <c r="AX1026" s="29"/>
      <c r="AY1026" s="29"/>
      <c r="AZ1026" s="29"/>
      <c r="BA1026" s="29"/>
      <c r="BB1026" s="29"/>
      <c r="BC1026" s="29"/>
      <c r="BD1026" s="29"/>
      <c r="BE1026" s="29"/>
      <c r="BF1026" s="29"/>
      <c r="BG1026" s="29"/>
      <c r="BH1026" s="29"/>
      <c r="BI1026" s="29"/>
      <c r="BJ1026" s="29"/>
      <c r="BK1026" s="29"/>
      <c r="BL1026" s="29"/>
      <c r="BM1026" s="29"/>
      <c r="BN1026" s="29"/>
      <c r="BO1026" s="29"/>
      <c r="BP1026" s="29"/>
      <c r="BQ1026" s="29"/>
      <c r="BR1026" s="29"/>
      <c r="BS1026" s="29"/>
      <c r="BT1026" s="29"/>
      <c r="BU1026" s="29"/>
    </row>
    <row r="1027" spans="34:73" x14ac:dyDescent="0.25"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  <c r="AT1027" s="29"/>
      <c r="AU1027" s="29"/>
      <c r="AV1027" s="29"/>
      <c r="AW1027" s="29"/>
      <c r="AX1027" s="29"/>
      <c r="AY1027" s="29"/>
      <c r="AZ1027" s="29"/>
      <c r="BA1027" s="29"/>
      <c r="BB1027" s="29"/>
      <c r="BC1027" s="29"/>
      <c r="BD1027" s="29"/>
      <c r="BE1027" s="29"/>
      <c r="BF1027" s="29"/>
      <c r="BG1027" s="29"/>
      <c r="BH1027" s="29"/>
      <c r="BI1027" s="29"/>
      <c r="BJ1027" s="29"/>
      <c r="BK1027" s="29"/>
      <c r="BL1027" s="29"/>
      <c r="BM1027" s="29"/>
      <c r="BN1027" s="29"/>
      <c r="BO1027" s="29"/>
      <c r="BP1027" s="29"/>
      <c r="BQ1027" s="29"/>
      <c r="BR1027" s="29"/>
      <c r="BS1027" s="29"/>
      <c r="BT1027" s="29"/>
      <c r="BU1027" s="29"/>
    </row>
    <row r="1028" spans="34:73" x14ac:dyDescent="0.25"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  <c r="AT1028" s="29"/>
      <c r="AU1028" s="29"/>
      <c r="AV1028" s="29"/>
      <c r="AW1028" s="29"/>
      <c r="AX1028" s="29"/>
      <c r="AY1028" s="29"/>
      <c r="AZ1028" s="29"/>
      <c r="BA1028" s="29"/>
      <c r="BB1028" s="29"/>
      <c r="BC1028" s="29"/>
      <c r="BD1028" s="29"/>
      <c r="BE1028" s="29"/>
      <c r="BF1028" s="29"/>
      <c r="BG1028" s="29"/>
      <c r="BH1028" s="29"/>
      <c r="BI1028" s="29"/>
      <c r="BJ1028" s="29"/>
      <c r="BK1028" s="29"/>
      <c r="BL1028" s="29"/>
      <c r="BM1028" s="29"/>
      <c r="BN1028" s="29"/>
      <c r="BO1028" s="29"/>
      <c r="BP1028" s="29"/>
      <c r="BQ1028" s="29"/>
      <c r="BR1028" s="29"/>
      <c r="BS1028" s="29"/>
      <c r="BT1028" s="29"/>
      <c r="BU1028" s="29"/>
    </row>
    <row r="1029" spans="34:73" x14ac:dyDescent="0.25"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  <c r="AT1029" s="29"/>
      <c r="AU1029" s="29"/>
      <c r="AV1029" s="29"/>
      <c r="AW1029" s="29"/>
      <c r="AX1029" s="29"/>
      <c r="AY1029" s="29"/>
      <c r="AZ1029" s="29"/>
      <c r="BA1029" s="29"/>
      <c r="BB1029" s="29"/>
      <c r="BC1029" s="29"/>
      <c r="BD1029" s="29"/>
      <c r="BE1029" s="29"/>
      <c r="BF1029" s="29"/>
      <c r="BG1029" s="29"/>
      <c r="BH1029" s="29"/>
      <c r="BI1029" s="29"/>
      <c r="BJ1029" s="29"/>
      <c r="BK1029" s="29"/>
      <c r="BL1029" s="29"/>
      <c r="BM1029" s="29"/>
      <c r="BN1029" s="29"/>
      <c r="BO1029" s="29"/>
      <c r="BP1029" s="29"/>
      <c r="BQ1029" s="29"/>
      <c r="BR1029" s="29"/>
      <c r="BS1029" s="29"/>
      <c r="BT1029" s="29"/>
      <c r="BU1029" s="29"/>
    </row>
    <row r="1030" spans="34:73" x14ac:dyDescent="0.25"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  <c r="AT1030" s="29"/>
      <c r="AU1030" s="29"/>
      <c r="AV1030" s="29"/>
      <c r="AW1030" s="29"/>
      <c r="AX1030" s="29"/>
      <c r="AY1030" s="29"/>
      <c r="AZ1030" s="29"/>
      <c r="BA1030" s="29"/>
      <c r="BB1030" s="29"/>
      <c r="BC1030" s="29"/>
      <c r="BD1030" s="29"/>
      <c r="BE1030" s="29"/>
      <c r="BF1030" s="29"/>
      <c r="BG1030" s="29"/>
      <c r="BH1030" s="29"/>
      <c r="BI1030" s="29"/>
      <c r="BJ1030" s="29"/>
      <c r="BK1030" s="29"/>
      <c r="BL1030" s="29"/>
      <c r="BM1030" s="29"/>
      <c r="BN1030" s="29"/>
      <c r="BO1030" s="29"/>
      <c r="BP1030" s="29"/>
      <c r="BQ1030" s="29"/>
      <c r="BR1030" s="29"/>
      <c r="BS1030" s="29"/>
      <c r="BT1030" s="29"/>
      <c r="BU1030" s="29"/>
    </row>
    <row r="1031" spans="34:73" x14ac:dyDescent="0.25"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  <c r="BB1031" s="29"/>
      <c r="BC1031" s="29"/>
      <c r="BD1031" s="29"/>
      <c r="BE1031" s="29"/>
      <c r="BF1031" s="29"/>
      <c r="BG1031" s="29"/>
      <c r="BH1031" s="29"/>
      <c r="BI1031" s="29"/>
      <c r="BJ1031" s="29"/>
      <c r="BK1031" s="29"/>
      <c r="BL1031" s="29"/>
      <c r="BM1031" s="29"/>
      <c r="BN1031" s="29"/>
      <c r="BO1031" s="29"/>
      <c r="BP1031" s="29"/>
      <c r="BQ1031" s="29"/>
      <c r="BR1031" s="29"/>
      <c r="BS1031" s="29"/>
      <c r="BT1031" s="29"/>
      <c r="BU1031" s="29"/>
    </row>
    <row r="1032" spans="34:73" x14ac:dyDescent="0.25"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  <c r="AT1032" s="29"/>
      <c r="AU1032" s="29"/>
      <c r="AV1032" s="29"/>
      <c r="AW1032" s="29"/>
      <c r="AX1032" s="29"/>
      <c r="AY1032" s="29"/>
      <c r="AZ1032" s="29"/>
      <c r="BA1032" s="29"/>
      <c r="BB1032" s="29"/>
      <c r="BC1032" s="29"/>
      <c r="BD1032" s="29"/>
      <c r="BE1032" s="29"/>
      <c r="BF1032" s="29"/>
      <c r="BG1032" s="29"/>
      <c r="BH1032" s="29"/>
      <c r="BI1032" s="29"/>
      <c r="BJ1032" s="29"/>
      <c r="BK1032" s="29"/>
      <c r="BL1032" s="29"/>
      <c r="BM1032" s="29"/>
      <c r="BN1032" s="29"/>
      <c r="BO1032" s="29"/>
      <c r="BP1032" s="29"/>
      <c r="BQ1032" s="29"/>
      <c r="BR1032" s="29"/>
      <c r="BS1032" s="29"/>
      <c r="BT1032" s="29"/>
      <c r="BU1032" s="29"/>
    </row>
    <row r="1033" spans="34:73" x14ac:dyDescent="0.25"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  <c r="AT1033" s="29"/>
      <c r="AU1033" s="29"/>
      <c r="AV1033" s="29"/>
      <c r="AW1033" s="29"/>
      <c r="AX1033" s="29"/>
      <c r="AY1033" s="29"/>
      <c r="AZ1033" s="29"/>
      <c r="BA1033" s="29"/>
      <c r="BB1033" s="29"/>
      <c r="BC1033" s="29"/>
      <c r="BD1033" s="29"/>
      <c r="BE1033" s="29"/>
      <c r="BF1033" s="29"/>
      <c r="BG1033" s="29"/>
      <c r="BH1033" s="29"/>
      <c r="BI1033" s="29"/>
      <c r="BJ1033" s="29"/>
      <c r="BK1033" s="29"/>
      <c r="BL1033" s="29"/>
      <c r="BM1033" s="29"/>
      <c r="BN1033" s="29"/>
      <c r="BO1033" s="29"/>
      <c r="BP1033" s="29"/>
      <c r="BQ1033" s="29"/>
      <c r="BR1033" s="29"/>
      <c r="BS1033" s="29"/>
      <c r="BT1033" s="29"/>
      <c r="BU1033" s="29"/>
    </row>
    <row r="1034" spans="34:73" x14ac:dyDescent="0.25"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  <c r="AT1034" s="29"/>
      <c r="AU1034" s="29"/>
      <c r="AV1034" s="29"/>
      <c r="AW1034" s="29"/>
      <c r="AX1034" s="29"/>
      <c r="AY1034" s="29"/>
      <c r="AZ1034" s="29"/>
      <c r="BA1034" s="29"/>
      <c r="BB1034" s="29"/>
      <c r="BC1034" s="29"/>
      <c r="BD1034" s="29"/>
      <c r="BE1034" s="29"/>
      <c r="BF1034" s="29"/>
      <c r="BG1034" s="29"/>
      <c r="BH1034" s="29"/>
      <c r="BI1034" s="29"/>
      <c r="BJ1034" s="29"/>
      <c r="BK1034" s="29"/>
      <c r="BL1034" s="29"/>
      <c r="BM1034" s="29"/>
      <c r="BN1034" s="29"/>
      <c r="BO1034" s="29"/>
      <c r="BP1034" s="29"/>
      <c r="BQ1034" s="29"/>
      <c r="BR1034" s="29"/>
      <c r="BS1034" s="29"/>
      <c r="BT1034" s="29"/>
      <c r="BU1034" s="29"/>
    </row>
    <row r="1035" spans="34:73" x14ac:dyDescent="0.25"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  <c r="AT1035" s="29"/>
      <c r="AU1035" s="29"/>
      <c r="AV1035" s="29"/>
      <c r="AW1035" s="29"/>
      <c r="AX1035" s="29"/>
      <c r="AY1035" s="29"/>
      <c r="AZ1035" s="29"/>
      <c r="BA1035" s="29"/>
      <c r="BB1035" s="29"/>
      <c r="BC1035" s="29"/>
      <c r="BD1035" s="29"/>
      <c r="BE1035" s="29"/>
      <c r="BF1035" s="29"/>
      <c r="BG1035" s="29"/>
      <c r="BH1035" s="29"/>
      <c r="BI1035" s="29"/>
      <c r="BJ1035" s="29"/>
      <c r="BK1035" s="29"/>
      <c r="BL1035" s="29"/>
      <c r="BM1035" s="29"/>
      <c r="BN1035" s="29"/>
      <c r="BO1035" s="29"/>
      <c r="BP1035" s="29"/>
      <c r="BQ1035" s="29"/>
      <c r="BR1035" s="29"/>
      <c r="BS1035" s="29"/>
      <c r="BT1035" s="29"/>
      <c r="BU1035" s="29"/>
    </row>
    <row r="1036" spans="34:73" x14ac:dyDescent="0.25"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  <c r="AT1036" s="29"/>
      <c r="AU1036" s="29"/>
      <c r="AV1036" s="29"/>
      <c r="AW1036" s="29"/>
      <c r="AX1036" s="29"/>
      <c r="AY1036" s="29"/>
      <c r="AZ1036" s="29"/>
      <c r="BA1036" s="29"/>
      <c r="BB1036" s="29"/>
      <c r="BC1036" s="29"/>
      <c r="BD1036" s="29"/>
      <c r="BE1036" s="29"/>
      <c r="BF1036" s="29"/>
      <c r="BG1036" s="29"/>
      <c r="BH1036" s="29"/>
      <c r="BI1036" s="29"/>
      <c r="BJ1036" s="29"/>
      <c r="BK1036" s="29"/>
      <c r="BL1036" s="29"/>
      <c r="BM1036" s="29"/>
      <c r="BN1036" s="29"/>
      <c r="BO1036" s="29"/>
      <c r="BP1036" s="29"/>
      <c r="BQ1036" s="29"/>
      <c r="BR1036" s="29"/>
      <c r="BS1036" s="29"/>
      <c r="BT1036" s="29"/>
      <c r="BU1036" s="29"/>
    </row>
    <row r="1037" spans="34:73" x14ac:dyDescent="0.25"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  <c r="BB1037" s="29"/>
      <c r="BC1037" s="29"/>
      <c r="BD1037" s="29"/>
      <c r="BE1037" s="29"/>
      <c r="BF1037" s="29"/>
      <c r="BG1037" s="29"/>
      <c r="BH1037" s="29"/>
      <c r="BI1037" s="29"/>
      <c r="BJ1037" s="29"/>
      <c r="BK1037" s="29"/>
      <c r="BL1037" s="29"/>
      <c r="BM1037" s="29"/>
      <c r="BN1037" s="29"/>
      <c r="BO1037" s="29"/>
      <c r="BP1037" s="29"/>
      <c r="BQ1037" s="29"/>
      <c r="BR1037" s="29"/>
      <c r="BS1037" s="29"/>
      <c r="BT1037" s="29"/>
      <c r="BU1037" s="29"/>
    </row>
    <row r="1038" spans="34:73" x14ac:dyDescent="0.25">
      <c r="AH1038" s="29"/>
      <c r="AI1038" s="29"/>
      <c r="AJ1038" s="29"/>
      <c r="AK1038" s="29"/>
      <c r="AL1038" s="29"/>
      <c r="AM1038" s="29"/>
      <c r="AN1038" s="29"/>
      <c r="AO1038" s="29"/>
      <c r="AP1038" s="29"/>
      <c r="AQ1038" s="29"/>
      <c r="AR1038" s="29"/>
      <c r="AS1038" s="29"/>
      <c r="AT1038" s="29"/>
      <c r="AU1038" s="29"/>
      <c r="AV1038" s="29"/>
      <c r="AW1038" s="29"/>
      <c r="AX1038" s="29"/>
      <c r="AY1038" s="29"/>
      <c r="AZ1038" s="29"/>
      <c r="BA1038" s="29"/>
      <c r="BB1038" s="29"/>
      <c r="BC1038" s="29"/>
      <c r="BD1038" s="29"/>
      <c r="BE1038" s="29"/>
      <c r="BF1038" s="29"/>
      <c r="BG1038" s="29"/>
      <c r="BH1038" s="29"/>
      <c r="BI1038" s="29"/>
      <c r="BJ1038" s="29"/>
      <c r="BK1038" s="29"/>
      <c r="BL1038" s="29"/>
      <c r="BM1038" s="29"/>
      <c r="BN1038" s="29"/>
      <c r="BO1038" s="29"/>
      <c r="BP1038" s="29"/>
      <c r="BQ1038" s="29"/>
      <c r="BR1038" s="29"/>
      <c r="BS1038" s="29"/>
      <c r="BT1038" s="29"/>
      <c r="BU1038" s="29"/>
    </row>
    <row r="1039" spans="34:73" x14ac:dyDescent="0.25">
      <c r="AH1039" s="29"/>
      <c r="AI1039" s="29"/>
      <c r="AJ1039" s="29"/>
      <c r="AK1039" s="29"/>
      <c r="AL1039" s="29"/>
      <c r="AM1039" s="29"/>
      <c r="AN1039" s="29"/>
      <c r="AO1039" s="29"/>
      <c r="AP1039" s="29"/>
      <c r="AQ1039" s="29"/>
      <c r="AR1039" s="29"/>
      <c r="AS1039" s="29"/>
      <c r="AT1039" s="29"/>
      <c r="AU1039" s="29"/>
      <c r="AV1039" s="29"/>
      <c r="AW1039" s="29"/>
      <c r="AX1039" s="29"/>
      <c r="AY1039" s="29"/>
      <c r="AZ1039" s="29"/>
      <c r="BA1039" s="29"/>
      <c r="BB1039" s="29"/>
      <c r="BC1039" s="29"/>
      <c r="BD1039" s="29"/>
      <c r="BE1039" s="29"/>
      <c r="BF1039" s="29"/>
      <c r="BG1039" s="29"/>
      <c r="BH1039" s="29"/>
      <c r="BI1039" s="29"/>
      <c r="BJ1039" s="29"/>
      <c r="BK1039" s="29"/>
      <c r="BL1039" s="29"/>
      <c r="BM1039" s="29"/>
      <c r="BN1039" s="29"/>
      <c r="BO1039" s="29"/>
      <c r="BP1039" s="29"/>
      <c r="BQ1039" s="29"/>
      <c r="BR1039" s="29"/>
      <c r="BS1039" s="29"/>
      <c r="BT1039" s="29"/>
      <c r="BU1039" s="29"/>
    </row>
    <row r="1040" spans="34:73" x14ac:dyDescent="0.25">
      <c r="AH1040" s="29"/>
      <c r="AI1040" s="29"/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  <c r="BB1040" s="29"/>
      <c r="BC1040" s="29"/>
      <c r="BD1040" s="29"/>
      <c r="BE1040" s="29"/>
      <c r="BF1040" s="29"/>
      <c r="BG1040" s="29"/>
      <c r="BH1040" s="29"/>
      <c r="BI1040" s="29"/>
      <c r="BJ1040" s="29"/>
      <c r="BK1040" s="29"/>
      <c r="BL1040" s="29"/>
      <c r="BM1040" s="29"/>
      <c r="BN1040" s="29"/>
      <c r="BO1040" s="29"/>
      <c r="BP1040" s="29"/>
      <c r="BQ1040" s="29"/>
      <c r="BR1040" s="29"/>
      <c r="BS1040" s="29"/>
      <c r="BT1040" s="29"/>
      <c r="BU1040" s="29"/>
    </row>
    <row r="1041" spans="34:73" x14ac:dyDescent="0.25">
      <c r="AH1041" s="29"/>
      <c r="AI1041" s="29"/>
      <c r="AJ1041" s="29"/>
      <c r="AK1041" s="29"/>
      <c r="AL1041" s="29"/>
      <c r="AM1041" s="29"/>
      <c r="AN1041" s="29"/>
      <c r="AO1041" s="29"/>
      <c r="AP1041" s="29"/>
      <c r="AQ1041" s="29"/>
      <c r="AR1041" s="29"/>
      <c r="AS1041" s="29"/>
      <c r="AT1041" s="29"/>
      <c r="AU1041" s="29"/>
      <c r="AV1041" s="29"/>
      <c r="AW1041" s="29"/>
      <c r="AX1041" s="29"/>
      <c r="AY1041" s="29"/>
      <c r="AZ1041" s="29"/>
      <c r="BA1041" s="29"/>
      <c r="BB1041" s="29"/>
      <c r="BC1041" s="29"/>
      <c r="BD1041" s="29"/>
      <c r="BE1041" s="29"/>
      <c r="BF1041" s="29"/>
      <c r="BG1041" s="29"/>
      <c r="BH1041" s="29"/>
      <c r="BI1041" s="29"/>
      <c r="BJ1041" s="29"/>
      <c r="BK1041" s="29"/>
      <c r="BL1041" s="29"/>
      <c r="BM1041" s="29"/>
      <c r="BN1041" s="29"/>
      <c r="BO1041" s="29"/>
      <c r="BP1041" s="29"/>
      <c r="BQ1041" s="29"/>
      <c r="BR1041" s="29"/>
      <c r="BS1041" s="29"/>
      <c r="BT1041" s="29"/>
      <c r="BU1041" s="29"/>
    </row>
    <row r="1042" spans="34:73" x14ac:dyDescent="0.25">
      <c r="AH1042" s="29"/>
      <c r="AI1042" s="29"/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  <c r="BB1042" s="29"/>
      <c r="BC1042" s="29"/>
      <c r="BD1042" s="29"/>
      <c r="BE1042" s="29"/>
      <c r="BF1042" s="29"/>
      <c r="BG1042" s="29"/>
      <c r="BH1042" s="29"/>
      <c r="BI1042" s="29"/>
      <c r="BJ1042" s="29"/>
      <c r="BK1042" s="29"/>
      <c r="BL1042" s="29"/>
      <c r="BM1042" s="29"/>
      <c r="BN1042" s="29"/>
      <c r="BO1042" s="29"/>
      <c r="BP1042" s="29"/>
      <c r="BQ1042" s="29"/>
      <c r="BR1042" s="29"/>
      <c r="BS1042" s="29"/>
      <c r="BT1042" s="29"/>
      <c r="BU1042" s="29"/>
    </row>
    <row r="1043" spans="34:73" x14ac:dyDescent="0.25">
      <c r="AH1043" s="29"/>
      <c r="AI1043" s="29"/>
      <c r="AJ1043" s="29"/>
      <c r="AK1043" s="29"/>
      <c r="AL1043" s="29"/>
      <c r="AM1043" s="29"/>
      <c r="AN1043" s="29"/>
      <c r="AO1043" s="29"/>
      <c r="AP1043" s="29"/>
      <c r="AQ1043" s="29"/>
      <c r="AR1043" s="29"/>
      <c r="AS1043" s="29"/>
      <c r="AT1043" s="29"/>
      <c r="AU1043" s="29"/>
      <c r="AV1043" s="29"/>
      <c r="AW1043" s="29"/>
      <c r="AX1043" s="29"/>
      <c r="AY1043" s="29"/>
      <c r="AZ1043" s="29"/>
      <c r="BA1043" s="29"/>
      <c r="BB1043" s="29"/>
      <c r="BC1043" s="29"/>
      <c r="BD1043" s="29"/>
      <c r="BE1043" s="29"/>
      <c r="BF1043" s="29"/>
      <c r="BG1043" s="29"/>
      <c r="BH1043" s="29"/>
      <c r="BI1043" s="29"/>
      <c r="BJ1043" s="29"/>
      <c r="BK1043" s="29"/>
      <c r="BL1043" s="29"/>
      <c r="BM1043" s="29"/>
      <c r="BN1043" s="29"/>
      <c r="BO1043" s="29"/>
      <c r="BP1043" s="29"/>
      <c r="BQ1043" s="29"/>
      <c r="BR1043" s="29"/>
      <c r="BS1043" s="29"/>
      <c r="BT1043" s="29"/>
      <c r="BU1043" s="29"/>
    </row>
    <row r="1044" spans="34:73" x14ac:dyDescent="0.25">
      <c r="AH1044" s="29"/>
      <c r="AI1044" s="29"/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  <c r="BB1044" s="29"/>
      <c r="BC1044" s="29"/>
      <c r="BD1044" s="29"/>
      <c r="BE1044" s="29"/>
      <c r="BF1044" s="29"/>
      <c r="BG1044" s="29"/>
      <c r="BH1044" s="29"/>
      <c r="BI1044" s="29"/>
      <c r="BJ1044" s="29"/>
      <c r="BK1044" s="29"/>
      <c r="BL1044" s="29"/>
      <c r="BM1044" s="29"/>
      <c r="BN1044" s="29"/>
      <c r="BO1044" s="29"/>
      <c r="BP1044" s="29"/>
      <c r="BQ1044" s="29"/>
      <c r="BR1044" s="29"/>
      <c r="BS1044" s="29"/>
      <c r="BT1044" s="29"/>
      <c r="BU1044" s="29"/>
    </row>
    <row r="1045" spans="34:73" x14ac:dyDescent="0.25">
      <c r="AH1045" s="29"/>
      <c r="AI1045" s="29"/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  <c r="BB1045" s="29"/>
      <c r="BC1045" s="29"/>
      <c r="BD1045" s="29"/>
      <c r="BE1045" s="29"/>
      <c r="BF1045" s="29"/>
      <c r="BG1045" s="29"/>
      <c r="BH1045" s="29"/>
      <c r="BI1045" s="29"/>
      <c r="BJ1045" s="29"/>
      <c r="BK1045" s="29"/>
      <c r="BL1045" s="29"/>
      <c r="BM1045" s="29"/>
      <c r="BN1045" s="29"/>
      <c r="BO1045" s="29"/>
      <c r="BP1045" s="29"/>
      <c r="BQ1045" s="29"/>
      <c r="BR1045" s="29"/>
      <c r="BS1045" s="29"/>
      <c r="BT1045" s="29"/>
      <c r="BU1045" s="29"/>
    </row>
    <row r="1046" spans="34:73" x14ac:dyDescent="0.25">
      <c r="AH1046" s="29"/>
      <c r="AI1046" s="29"/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  <c r="AT1046" s="29"/>
      <c r="AU1046" s="29"/>
      <c r="AV1046" s="29"/>
      <c r="AW1046" s="29"/>
      <c r="AX1046" s="29"/>
      <c r="AY1046" s="29"/>
      <c r="AZ1046" s="29"/>
      <c r="BA1046" s="29"/>
      <c r="BB1046" s="29"/>
      <c r="BC1046" s="29"/>
      <c r="BD1046" s="29"/>
      <c r="BE1046" s="29"/>
      <c r="BF1046" s="29"/>
      <c r="BG1046" s="29"/>
      <c r="BH1046" s="29"/>
      <c r="BI1046" s="29"/>
      <c r="BJ1046" s="29"/>
      <c r="BK1046" s="29"/>
      <c r="BL1046" s="29"/>
      <c r="BM1046" s="29"/>
      <c r="BN1046" s="29"/>
      <c r="BO1046" s="29"/>
      <c r="BP1046" s="29"/>
      <c r="BQ1046" s="29"/>
      <c r="BR1046" s="29"/>
      <c r="BS1046" s="29"/>
      <c r="BT1046" s="29"/>
      <c r="BU1046" s="29"/>
    </row>
    <row r="1047" spans="34:73" x14ac:dyDescent="0.25"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  <c r="BB1047" s="29"/>
      <c r="BC1047" s="29"/>
      <c r="BD1047" s="29"/>
      <c r="BE1047" s="29"/>
      <c r="BF1047" s="29"/>
      <c r="BG1047" s="29"/>
      <c r="BH1047" s="29"/>
      <c r="BI1047" s="29"/>
      <c r="BJ1047" s="29"/>
      <c r="BK1047" s="29"/>
      <c r="BL1047" s="29"/>
      <c r="BM1047" s="29"/>
      <c r="BN1047" s="29"/>
      <c r="BO1047" s="29"/>
      <c r="BP1047" s="29"/>
      <c r="BQ1047" s="29"/>
      <c r="BR1047" s="29"/>
      <c r="BS1047" s="29"/>
      <c r="BT1047" s="29"/>
      <c r="BU1047" s="29"/>
    </row>
    <row r="1048" spans="34:73" x14ac:dyDescent="0.25"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AX1048" s="29"/>
      <c r="AY1048" s="29"/>
      <c r="AZ1048" s="29"/>
      <c r="BA1048" s="29"/>
      <c r="BB1048" s="29"/>
      <c r="BC1048" s="29"/>
      <c r="BD1048" s="29"/>
      <c r="BE1048" s="29"/>
      <c r="BF1048" s="29"/>
      <c r="BG1048" s="29"/>
      <c r="BH1048" s="29"/>
      <c r="BI1048" s="29"/>
      <c r="BJ1048" s="29"/>
      <c r="BK1048" s="29"/>
      <c r="BL1048" s="29"/>
      <c r="BM1048" s="29"/>
      <c r="BN1048" s="29"/>
      <c r="BO1048" s="29"/>
      <c r="BP1048" s="29"/>
      <c r="BQ1048" s="29"/>
      <c r="BR1048" s="29"/>
      <c r="BS1048" s="29"/>
      <c r="BT1048" s="29"/>
      <c r="BU1048" s="29"/>
    </row>
    <row r="1049" spans="34:73" x14ac:dyDescent="0.25">
      <c r="AH1049" s="29"/>
      <c r="AI1049" s="29"/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  <c r="AT1049" s="29"/>
      <c r="AU1049" s="29"/>
      <c r="AV1049" s="29"/>
      <c r="AW1049" s="29"/>
      <c r="AX1049" s="29"/>
      <c r="AY1049" s="29"/>
      <c r="AZ1049" s="29"/>
      <c r="BA1049" s="29"/>
      <c r="BB1049" s="29"/>
      <c r="BC1049" s="29"/>
      <c r="BD1049" s="29"/>
      <c r="BE1049" s="29"/>
      <c r="BF1049" s="29"/>
      <c r="BG1049" s="29"/>
      <c r="BH1049" s="29"/>
      <c r="BI1049" s="29"/>
      <c r="BJ1049" s="29"/>
      <c r="BK1049" s="29"/>
      <c r="BL1049" s="29"/>
      <c r="BM1049" s="29"/>
      <c r="BN1049" s="29"/>
      <c r="BO1049" s="29"/>
      <c r="BP1049" s="29"/>
      <c r="BQ1049" s="29"/>
      <c r="BR1049" s="29"/>
      <c r="BS1049" s="29"/>
      <c r="BT1049" s="29"/>
      <c r="BU1049" s="29"/>
    </row>
    <row r="1050" spans="34:73" x14ac:dyDescent="0.25">
      <c r="AH1050" s="29"/>
      <c r="AI1050" s="29"/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  <c r="AT1050" s="29"/>
      <c r="AU1050" s="29"/>
      <c r="AV1050" s="29"/>
      <c r="AW1050" s="29"/>
      <c r="AX1050" s="29"/>
      <c r="AY1050" s="29"/>
      <c r="AZ1050" s="29"/>
      <c r="BA1050" s="29"/>
      <c r="BB1050" s="29"/>
      <c r="BC1050" s="29"/>
      <c r="BD1050" s="29"/>
      <c r="BE1050" s="29"/>
      <c r="BF1050" s="29"/>
      <c r="BG1050" s="29"/>
      <c r="BH1050" s="29"/>
      <c r="BI1050" s="29"/>
      <c r="BJ1050" s="29"/>
      <c r="BK1050" s="29"/>
      <c r="BL1050" s="29"/>
      <c r="BM1050" s="29"/>
      <c r="BN1050" s="29"/>
      <c r="BO1050" s="29"/>
      <c r="BP1050" s="29"/>
      <c r="BQ1050" s="29"/>
      <c r="BR1050" s="29"/>
      <c r="BS1050" s="29"/>
      <c r="BT1050" s="29"/>
      <c r="BU1050" s="29"/>
    </row>
    <row r="1051" spans="34:73" x14ac:dyDescent="0.25"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  <c r="BB1051" s="29"/>
      <c r="BC1051" s="29"/>
      <c r="BD1051" s="29"/>
      <c r="BE1051" s="29"/>
      <c r="BF1051" s="29"/>
      <c r="BG1051" s="29"/>
      <c r="BH1051" s="29"/>
      <c r="BI1051" s="29"/>
      <c r="BJ1051" s="29"/>
      <c r="BK1051" s="29"/>
      <c r="BL1051" s="29"/>
      <c r="BM1051" s="29"/>
      <c r="BN1051" s="29"/>
      <c r="BO1051" s="29"/>
      <c r="BP1051" s="29"/>
      <c r="BQ1051" s="29"/>
      <c r="BR1051" s="29"/>
      <c r="BS1051" s="29"/>
      <c r="BT1051" s="29"/>
      <c r="BU1051" s="29"/>
    </row>
    <row r="1052" spans="34:73" x14ac:dyDescent="0.25">
      <c r="AH1052" s="29"/>
      <c r="AI1052" s="29"/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  <c r="AT1052" s="29"/>
      <c r="AU1052" s="29"/>
      <c r="AV1052" s="29"/>
      <c r="AW1052" s="29"/>
      <c r="AX1052" s="29"/>
      <c r="AY1052" s="29"/>
      <c r="AZ1052" s="29"/>
      <c r="BA1052" s="29"/>
      <c r="BB1052" s="29"/>
      <c r="BC1052" s="29"/>
      <c r="BD1052" s="29"/>
      <c r="BE1052" s="29"/>
      <c r="BF1052" s="29"/>
      <c r="BG1052" s="29"/>
      <c r="BH1052" s="29"/>
      <c r="BI1052" s="29"/>
      <c r="BJ1052" s="29"/>
      <c r="BK1052" s="29"/>
      <c r="BL1052" s="29"/>
      <c r="BM1052" s="29"/>
      <c r="BN1052" s="29"/>
      <c r="BO1052" s="29"/>
      <c r="BP1052" s="29"/>
      <c r="BQ1052" s="29"/>
      <c r="BR1052" s="29"/>
      <c r="BS1052" s="29"/>
      <c r="BT1052" s="29"/>
      <c r="BU1052" s="29"/>
    </row>
    <row r="1053" spans="34:73" x14ac:dyDescent="0.25">
      <c r="AH1053" s="29"/>
      <c r="AI1053" s="29"/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  <c r="AT1053" s="29"/>
      <c r="AU1053" s="29"/>
      <c r="AV1053" s="29"/>
      <c r="AW1053" s="29"/>
      <c r="AX1053" s="29"/>
      <c r="AY1053" s="29"/>
      <c r="AZ1053" s="29"/>
      <c r="BA1053" s="29"/>
      <c r="BB1053" s="29"/>
      <c r="BC1053" s="29"/>
      <c r="BD1053" s="29"/>
      <c r="BE1053" s="29"/>
      <c r="BF1053" s="29"/>
      <c r="BG1053" s="29"/>
      <c r="BH1053" s="29"/>
      <c r="BI1053" s="29"/>
      <c r="BJ1053" s="29"/>
      <c r="BK1053" s="29"/>
      <c r="BL1053" s="29"/>
      <c r="BM1053" s="29"/>
      <c r="BN1053" s="29"/>
      <c r="BO1053" s="29"/>
      <c r="BP1053" s="29"/>
      <c r="BQ1053" s="29"/>
      <c r="BR1053" s="29"/>
      <c r="BS1053" s="29"/>
      <c r="BT1053" s="29"/>
      <c r="BU1053" s="29"/>
    </row>
    <row r="1054" spans="34:73" x14ac:dyDescent="0.25"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  <c r="BB1054" s="29"/>
      <c r="BC1054" s="29"/>
      <c r="BD1054" s="29"/>
      <c r="BE1054" s="29"/>
      <c r="BF1054" s="29"/>
      <c r="BG1054" s="29"/>
      <c r="BH1054" s="29"/>
      <c r="BI1054" s="29"/>
      <c r="BJ1054" s="29"/>
      <c r="BK1054" s="29"/>
      <c r="BL1054" s="29"/>
      <c r="BM1054" s="29"/>
      <c r="BN1054" s="29"/>
      <c r="BO1054" s="29"/>
      <c r="BP1054" s="29"/>
      <c r="BQ1054" s="29"/>
      <c r="BR1054" s="29"/>
      <c r="BS1054" s="29"/>
      <c r="BT1054" s="29"/>
      <c r="BU1054" s="29"/>
    </row>
    <row r="1055" spans="34:73" x14ac:dyDescent="0.25"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X1055" s="29"/>
      <c r="AY1055" s="29"/>
      <c r="AZ1055" s="29"/>
      <c r="BA1055" s="29"/>
      <c r="BB1055" s="29"/>
      <c r="BC1055" s="29"/>
      <c r="BD1055" s="29"/>
      <c r="BE1055" s="29"/>
      <c r="BF1055" s="29"/>
      <c r="BG1055" s="29"/>
      <c r="BH1055" s="29"/>
      <c r="BI1055" s="29"/>
      <c r="BJ1055" s="29"/>
      <c r="BK1055" s="29"/>
      <c r="BL1055" s="29"/>
      <c r="BM1055" s="29"/>
      <c r="BN1055" s="29"/>
      <c r="BO1055" s="29"/>
      <c r="BP1055" s="29"/>
      <c r="BQ1055" s="29"/>
      <c r="BR1055" s="29"/>
      <c r="BS1055" s="29"/>
      <c r="BT1055" s="29"/>
      <c r="BU1055" s="29"/>
    </row>
    <row r="1056" spans="34:73" x14ac:dyDescent="0.25"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  <c r="BB1056" s="29"/>
      <c r="BC1056" s="29"/>
      <c r="BD1056" s="29"/>
      <c r="BE1056" s="29"/>
      <c r="BF1056" s="29"/>
      <c r="BG1056" s="29"/>
      <c r="BH1056" s="29"/>
      <c r="BI1056" s="29"/>
      <c r="BJ1056" s="29"/>
      <c r="BK1056" s="29"/>
      <c r="BL1056" s="29"/>
      <c r="BM1056" s="29"/>
      <c r="BN1056" s="29"/>
      <c r="BO1056" s="29"/>
      <c r="BP1056" s="29"/>
      <c r="BQ1056" s="29"/>
      <c r="BR1056" s="29"/>
      <c r="BS1056" s="29"/>
      <c r="BT1056" s="29"/>
      <c r="BU1056" s="29"/>
    </row>
    <row r="1057" spans="34:73" x14ac:dyDescent="0.25"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  <c r="AT1057" s="29"/>
      <c r="AU1057" s="29"/>
      <c r="AV1057" s="29"/>
      <c r="AW1057" s="29"/>
      <c r="AX1057" s="29"/>
      <c r="AY1057" s="29"/>
      <c r="AZ1057" s="29"/>
      <c r="BA1057" s="29"/>
      <c r="BB1057" s="29"/>
      <c r="BC1057" s="29"/>
      <c r="BD1057" s="29"/>
      <c r="BE1057" s="29"/>
      <c r="BF1057" s="29"/>
      <c r="BG1057" s="29"/>
      <c r="BH1057" s="29"/>
      <c r="BI1057" s="29"/>
      <c r="BJ1057" s="29"/>
      <c r="BK1057" s="29"/>
      <c r="BL1057" s="29"/>
      <c r="BM1057" s="29"/>
      <c r="BN1057" s="29"/>
      <c r="BO1057" s="29"/>
      <c r="BP1057" s="29"/>
      <c r="BQ1057" s="29"/>
      <c r="BR1057" s="29"/>
      <c r="BS1057" s="29"/>
      <c r="BT1057" s="29"/>
      <c r="BU1057" s="29"/>
    </row>
    <row r="1058" spans="34:73" x14ac:dyDescent="0.25"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X1058" s="29"/>
      <c r="AY1058" s="29"/>
      <c r="AZ1058" s="29"/>
      <c r="BA1058" s="29"/>
      <c r="BB1058" s="29"/>
      <c r="BC1058" s="29"/>
      <c r="BD1058" s="29"/>
      <c r="BE1058" s="29"/>
      <c r="BF1058" s="29"/>
      <c r="BG1058" s="29"/>
      <c r="BH1058" s="29"/>
      <c r="BI1058" s="29"/>
      <c r="BJ1058" s="29"/>
      <c r="BK1058" s="29"/>
      <c r="BL1058" s="29"/>
      <c r="BM1058" s="29"/>
      <c r="BN1058" s="29"/>
      <c r="BO1058" s="29"/>
      <c r="BP1058" s="29"/>
      <c r="BQ1058" s="29"/>
      <c r="BR1058" s="29"/>
      <c r="BS1058" s="29"/>
      <c r="BT1058" s="29"/>
      <c r="BU1058" s="29"/>
    </row>
    <row r="1059" spans="34:73" x14ac:dyDescent="0.25"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X1059" s="29"/>
      <c r="AY1059" s="29"/>
      <c r="AZ1059" s="29"/>
      <c r="BA1059" s="29"/>
      <c r="BB1059" s="29"/>
      <c r="BC1059" s="29"/>
      <c r="BD1059" s="29"/>
      <c r="BE1059" s="29"/>
      <c r="BF1059" s="29"/>
      <c r="BG1059" s="29"/>
      <c r="BH1059" s="29"/>
      <c r="BI1059" s="29"/>
      <c r="BJ1059" s="29"/>
      <c r="BK1059" s="29"/>
      <c r="BL1059" s="29"/>
      <c r="BM1059" s="29"/>
      <c r="BN1059" s="29"/>
      <c r="BO1059" s="29"/>
      <c r="BP1059" s="29"/>
      <c r="BQ1059" s="29"/>
      <c r="BR1059" s="29"/>
      <c r="BS1059" s="29"/>
      <c r="BT1059" s="29"/>
      <c r="BU1059" s="29"/>
    </row>
    <row r="1060" spans="34:73" x14ac:dyDescent="0.25"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  <c r="BB1060" s="29"/>
      <c r="BC1060" s="29"/>
      <c r="BD1060" s="29"/>
      <c r="BE1060" s="29"/>
      <c r="BF1060" s="29"/>
      <c r="BG1060" s="29"/>
      <c r="BH1060" s="29"/>
      <c r="BI1060" s="29"/>
      <c r="BJ1060" s="29"/>
      <c r="BK1060" s="29"/>
      <c r="BL1060" s="29"/>
      <c r="BM1060" s="29"/>
      <c r="BN1060" s="29"/>
      <c r="BO1060" s="29"/>
      <c r="BP1060" s="29"/>
      <c r="BQ1060" s="29"/>
      <c r="BR1060" s="29"/>
      <c r="BS1060" s="29"/>
      <c r="BT1060" s="29"/>
      <c r="BU1060" s="29"/>
    </row>
    <row r="1061" spans="34:73" x14ac:dyDescent="0.25"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  <c r="AY1061" s="29"/>
      <c r="AZ1061" s="29"/>
      <c r="BA1061" s="29"/>
      <c r="BB1061" s="29"/>
      <c r="BC1061" s="29"/>
      <c r="BD1061" s="29"/>
      <c r="BE1061" s="29"/>
      <c r="BF1061" s="29"/>
      <c r="BG1061" s="29"/>
      <c r="BH1061" s="29"/>
      <c r="BI1061" s="29"/>
      <c r="BJ1061" s="29"/>
      <c r="BK1061" s="29"/>
      <c r="BL1061" s="29"/>
      <c r="BM1061" s="29"/>
      <c r="BN1061" s="29"/>
      <c r="BO1061" s="29"/>
      <c r="BP1061" s="29"/>
      <c r="BQ1061" s="29"/>
      <c r="BR1061" s="29"/>
      <c r="BS1061" s="29"/>
      <c r="BT1061" s="29"/>
      <c r="BU1061" s="29"/>
    </row>
    <row r="1062" spans="34:73" x14ac:dyDescent="0.25"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X1062" s="29"/>
      <c r="AY1062" s="29"/>
      <c r="AZ1062" s="29"/>
      <c r="BA1062" s="29"/>
      <c r="BB1062" s="29"/>
      <c r="BC1062" s="29"/>
      <c r="BD1062" s="29"/>
      <c r="BE1062" s="29"/>
      <c r="BF1062" s="29"/>
      <c r="BG1062" s="29"/>
      <c r="BH1062" s="29"/>
      <c r="BI1062" s="29"/>
      <c r="BJ1062" s="29"/>
      <c r="BK1062" s="29"/>
      <c r="BL1062" s="29"/>
      <c r="BM1062" s="29"/>
      <c r="BN1062" s="29"/>
      <c r="BO1062" s="29"/>
      <c r="BP1062" s="29"/>
      <c r="BQ1062" s="29"/>
      <c r="BR1062" s="29"/>
      <c r="BS1062" s="29"/>
      <c r="BT1062" s="29"/>
      <c r="BU1062" s="29"/>
    </row>
    <row r="1063" spans="34:73" x14ac:dyDescent="0.25"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X1063" s="29"/>
      <c r="AY1063" s="29"/>
      <c r="AZ1063" s="29"/>
      <c r="BA1063" s="29"/>
      <c r="BB1063" s="29"/>
      <c r="BC1063" s="29"/>
      <c r="BD1063" s="29"/>
      <c r="BE1063" s="29"/>
      <c r="BF1063" s="29"/>
      <c r="BG1063" s="29"/>
      <c r="BH1063" s="29"/>
      <c r="BI1063" s="29"/>
      <c r="BJ1063" s="29"/>
      <c r="BK1063" s="29"/>
      <c r="BL1063" s="29"/>
      <c r="BM1063" s="29"/>
      <c r="BN1063" s="29"/>
      <c r="BO1063" s="29"/>
      <c r="BP1063" s="29"/>
      <c r="BQ1063" s="29"/>
      <c r="BR1063" s="29"/>
      <c r="BS1063" s="29"/>
      <c r="BT1063" s="29"/>
      <c r="BU1063" s="29"/>
    </row>
    <row r="1064" spans="34:73" x14ac:dyDescent="0.25"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X1064" s="29"/>
      <c r="AY1064" s="29"/>
      <c r="AZ1064" s="29"/>
      <c r="BA1064" s="29"/>
      <c r="BB1064" s="29"/>
      <c r="BC1064" s="29"/>
      <c r="BD1064" s="29"/>
      <c r="BE1064" s="29"/>
      <c r="BF1064" s="29"/>
      <c r="BG1064" s="29"/>
      <c r="BH1064" s="29"/>
      <c r="BI1064" s="29"/>
      <c r="BJ1064" s="29"/>
      <c r="BK1064" s="29"/>
      <c r="BL1064" s="29"/>
      <c r="BM1064" s="29"/>
      <c r="BN1064" s="29"/>
      <c r="BO1064" s="29"/>
      <c r="BP1064" s="29"/>
      <c r="BQ1064" s="29"/>
      <c r="BR1064" s="29"/>
      <c r="BS1064" s="29"/>
      <c r="BT1064" s="29"/>
      <c r="BU1064" s="29"/>
    </row>
    <row r="1065" spans="34:73" x14ac:dyDescent="0.25"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  <c r="AY1065" s="29"/>
      <c r="AZ1065" s="29"/>
      <c r="BA1065" s="29"/>
      <c r="BB1065" s="29"/>
      <c r="BC1065" s="29"/>
      <c r="BD1065" s="29"/>
      <c r="BE1065" s="29"/>
      <c r="BF1065" s="29"/>
      <c r="BG1065" s="29"/>
      <c r="BH1065" s="29"/>
      <c r="BI1065" s="29"/>
      <c r="BJ1065" s="29"/>
      <c r="BK1065" s="29"/>
      <c r="BL1065" s="29"/>
      <c r="BM1065" s="29"/>
      <c r="BN1065" s="29"/>
      <c r="BO1065" s="29"/>
      <c r="BP1065" s="29"/>
      <c r="BQ1065" s="29"/>
      <c r="BR1065" s="29"/>
      <c r="BS1065" s="29"/>
      <c r="BT1065" s="29"/>
      <c r="BU1065" s="29"/>
    </row>
    <row r="1066" spans="34:73" x14ac:dyDescent="0.25"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X1066" s="29"/>
      <c r="AY1066" s="29"/>
      <c r="AZ1066" s="29"/>
      <c r="BA1066" s="29"/>
      <c r="BB1066" s="29"/>
      <c r="BC1066" s="29"/>
      <c r="BD1066" s="29"/>
      <c r="BE1066" s="29"/>
      <c r="BF1066" s="29"/>
      <c r="BG1066" s="29"/>
      <c r="BH1066" s="29"/>
      <c r="BI1066" s="29"/>
      <c r="BJ1066" s="29"/>
      <c r="BK1066" s="29"/>
      <c r="BL1066" s="29"/>
      <c r="BM1066" s="29"/>
      <c r="BN1066" s="29"/>
      <c r="BO1066" s="29"/>
      <c r="BP1066" s="29"/>
      <c r="BQ1066" s="29"/>
      <c r="BR1066" s="29"/>
      <c r="BS1066" s="29"/>
      <c r="BT1066" s="29"/>
      <c r="BU1066" s="29"/>
    </row>
    <row r="1067" spans="34:73" x14ac:dyDescent="0.25"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X1067" s="29"/>
      <c r="AY1067" s="29"/>
      <c r="AZ1067" s="29"/>
      <c r="BA1067" s="29"/>
      <c r="BB1067" s="29"/>
      <c r="BC1067" s="29"/>
      <c r="BD1067" s="29"/>
      <c r="BE1067" s="29"/>
      <c r="BF1067" s="29"/>
      <c r="BG1067" s="29"/>
      <c r="BH1067" s="29"/>
      <c r="BI1067" s="29"/>
      <c r="BJ1067" s="29"/>
      <c r="BK1067" s="29"/>
      <c r="BL1067" s="29"/>
      <c r="BM1067" s="29"/>
      <c r="BN1067" s="29"/>
      <c r="BO1067" s="29"/>
      <c r="BP1067" s="29"/>
      <c r="BQ1067" s="29"/>
      <c r="BR1067" s="29"/>
      <c r="BS1067" s="29"/>
      <c r="BT1067" s="29"/>
      <c r="BU1067" s="29"/>
    </row>
    <row r="1068" spans="34:73" x14ac:dyDescent="0.25"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  <c r="AY1068" s="29"/>
      <c r="AZ1068" s="29"/>
      <c r="BA1068" s="29"/>
      <c r="BB1068" s="29"/>
      <c r="BC1068" s="29"/>
      <c r="BD1068" s="29"/>
      <c r="BE1068" s="29"/>
      <c r="BF1068" s="29"/>
      <c r="BG1068" s="29"/>
      <c r="BH1068" s="29"/>
      <c r="BI1068" s="29"/>
      <c r="BJ1068" s="29"/>
      <c r="BK1068" s="29"/>
      <c r="BL1068" s="29"/>
      <c r="BM1068" s="29"/>
      <c r="BN1068" s="29"/>
      <c r="BO1068" s="29"/>
      <c r="BP1068" s="29"/>
      <c r="BQ1068" s="29"/>
      <c r="BR1068" s="29"/>
      <c r="BS1068" s="29"/>
      <c r="BT1068" s="29"/>
      <c r="BU1068" s="29"/>
    </row>
    <row r="1069" spans="34:73" x14ac:dyDescent="0.25"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X1069" s="29"/>
      <c r="AY1069" s="29"/>
      <c r="AZ1069" s="29"/>
      <c r="BA1069" s="29"/>
      <c r="BB1069" s="29"/>
      <c r="BC1069" s="29"/>
      <c r="BD1069" s="29"/>
      <c r="BE1069" s="29"/>
      <c r="BF1069" s="29"/>
      <c r="BG1069" s="29"/>
      <c r="BH1069" s="29"/>
      <c r="BI1069" s="29"/>
      <c r="BJ1069" s="29"/>
      <c r="BK1069" s="29"/>
      <c r="BL1069" s="29"/>
      <c r="BM1069" s="29"/>
      <c r="BN1069" s="29"/>
      <c r="BO1069" s="29"/>
      <c r="BP1069" s="29"/>
      <c r="BQ1069" s="29"/>
      <c r="BR1069" s="29"/>
      <c r="BS1069" s="29"/>
      <c r="BT1069" s="29"/>
      <c r="BU1069" s="29"/>
    </row>
    <row r="1070" spans="34:73" x14ac:dyDescent="0.25"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  <c r="AZ1070" s="29"/>
      <c r="BA1070" s="29"/>
      <c r="BB1070" s="29"/>
      <c r="BC1070" s="29"/>
      <c r="BD1070" s="29"/>
      <c r="BE1070" s="29"/>
      <c r="BF1070" s="29"/>
      <c r="BG1070" s="29"/>
      <c r="BH1070" s="29"/>
      <c r="BI1070" s="29"/>
      <c r="BJ1070" s="29"/>
      <c r="BK1070" s="29"/>
      <c r="BL1070" s="29"/>
      <c r="BM1070" s="29"/>
      <c r="BN1070" s="29"/>
      <c r="BO1070" s="29"/>
      <c r="BP1070" s="29"/>
      <c r="BQ1070" s="29"/>
      <c r="BR1070" s="29"/>
      <c r="BS1070" s="29"/>
      <c r="BT1070" s="29"/>
      <c r="BU1070" s="29"/>
    </row>
    <row r="1071" spans="34:73" x14ac:dyDescent="0.25"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  <c r="AY1071" s="29"/>
      <c r="AZ1071" s="29"/>
      <c r="BA1071" s="29"/>
      <c r="BB1071" s="29"/>
      <c r="BC1071" s="29"/>
      <c r="BD1071" s="29"/>
      <c r="BE1071" s="29"/>
      <c r="BF1071" s="29"/>
      <c r="BG1071" s="29"/>
      <c r="BH1071" s="29"/>
      <c r="BI1071" s="29"/>
      <c r="BJ1071" s="29"/>
      <c r="BK1071" s="29"/>
      <c r="BL1071" s="29"/>
      <c r="BM1071" s="29"/>
      <c r="BN1071" s="29"/>
      <c r="BO1071" s="29"/>
      <c r="BP1071" s="29"/>
      <c r="BQ1071" s="29"/>
      <c r="BR1071" s="29"/>
      <c r="BS1071" s="29"/>
      <c r="BT1071" s="29"/>
      <c r="BU1071" s="29"/>
    </row>
    <row r="1072" spans="34:73" x14ac:dyDescent="0.25"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  <c r="AY1072" s="29"/>
      <c r="AZ1072" s="29"/>
      <c r="BA1072" s="29"/>
      <c r="BB1072" s="29"/>
      <c r="BC1072" s="29"/>
      <c r="BD1072" s="29"/>
      <c r="BE1072" s="29"/>
      <c r="BF1072" s="29"/>
      <c r="BG1072" s="29"/>
      <c r="BH1072" s="29"/>
      <c r="BI1072" s="29"/>
      <c r="BJ1072" s="29"/>
      <c r="BK1072" s="29"/>
      <c r="BL1072" s="29"/>
      <c r="BM1072" s="29"/>
      <c r="BN1072" s="29"/>
      <c r="BO1072" s="29"/>
      <c r="BP1072" s="29"/>
      <c r="BQ1072" s="29"/>
      <c r="BR1072" s="29"/>
      <c r="BS1072" s="29"/>
      <c r="BT1072" s="29"/>
      <c r="BU1072" s="29"/>
    </row>
    <row r="1073" spans="34:73" x14ac:dyDescent="0.25"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  <c r="AZ1073" s="29"/>
      <c r="BA1073" s="29"/>
      <c r="BB1073" s="29"/>
      <c r="BC1073" s="29"/>
      <c r="BD1073" s="29"/>
      <c r="BE1073" s="29"/>
      <c r="BF1073" s="29"/>
      <c r="BG1073" s="29"/>
      <c r="BH1073" s="29"/>
      <c r="BI1073" s="29"/>
      <c r="BJ1073" s="29"/>
      <c r="BK1073" s="29"/>
      <c r="BL1073" s="29"/>
      <c r="BM1073" s="29"/>
      <c r="BN1073" s="29"/>
      <c r="BO1073" s="29"/>
      <c r="BP1073" s="29"/>
      <c r="BQ1073" s="29"/>
      <c r="BR1073" s="29"/>
      <c r="BS1073" s="29"/>
      <c r="BT1073" s="29"/>
      <c r="BU1073" s="29"/>
    </row>
    <row r="1074" spans="34:73" x14ac:dyDescent="0.25"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29"/>
      <c r="BE1074" s="29"/>
      <c r="BF1074" s="29"/>
      <c r="BG1074" s="29"/>
      <c r="BH1074" s="29"/>
      <c r="BI1074" s="29"/>
      <c r="BJ1074" s="29"/>
      <c r="BK1074" s="29"/>
      <c r="BL1074" s="29"/>
      <c r="BM1074" s="29"/>
      <c r="BN1074" s="29"/>
      <c r="BO1074" s="29"/>
      <c r="BP1074" s="29"/>
      <c r="BQ1074" s="29"/>
      <c r="BR1074" s="29"/>
      <c r="BS1074" s="29"/>
      <c r="BT1074" s="29"/>
      <c r="BU1074" s="29"/>
    </row>
    <row r="1075" spans="34:73" x14ac:dyDescent="0.25"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  <c r="AY1075" s="29"/>
      <c r="AZ1075" s="29"/>
      <c r="BA1075" s="29"/>
      <c r="BB1075" s="29"/>
      <c r="BC1075" s="29"/>
      <c r="BD1075" s="29"/>
      <c r="BE1075" s="29"/>
      <c r="BF1075" s="29"/>
      <c r="BG1075" s="29"/>
      <c r="BH1075" s="29"/>
      <c r="BI1075" s="29"/>
      <c r="BJ1075" s="29"/>
      <c r="BK1075" s="29"/>
      <c r="BL1075" s="29"/>
      <c r="BM1075" s="29"/>
      <c r="BN1075" s="29"/>
      <c r="BO1075" s="29"/>
      <c r="BP1075" s="29"/>
      <c r="BQ1075" s="29"/>
      <c r="BR1075" s="29"/>
      <c r="BS1075" s="29"/>
      <c r="BT1075" s="29"/>
      <c r="BU1075" s="29"/>
    </row>
    <row r="1076" spans="34:73" x14ac:dyDescent="0.25"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  <c r="AY1076" s="29"/>
      <c r="AZ1076" s="29"/>
      <c r="BA1076" s="29"/>
      <c r="BB1076" s="29"/>
      <c r="BC1076" s="29"/>
      <c r="BD1076" s="29"/>
      <c r="BE1076" s="29"/>
      <c r="BF1076" s="29"/>
      <c r="BG1076" s="29"/>
      <c r="BH1076" s="29"/>
      <c r="BI1076" s="29"/>
      <c r="BJ1076" s="29"/>
      <c r="BK1076" s="29"/>
      <c r="BL1076" s="29"/>
      <c r="BM1076" s="29"/>
      <c r="BN1076" s="29"/>
      <c r="BO1076" s="29"/>
      <c r="BP1076" s="29"/>
      <c r="BQ1076" s="29"/>
      <c r="BR1076" s="29"/>
      <c r="BS1076" s="29"/>
      <c r="BT1076" s="29"/>
      <c r="BU1076" s="29"/>
    </row>
    <row r="1077" spans="34:73" x14ac:dyDescent="0.25"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X1077" s="29"/>
      <c r="AY1077" s="29"/>
      <c r="AZ1077" s="29"/>
      <c r="BA1077" s="29"/>
      <c r="BB1077" s="29"/>
      <c r="BC1077" s="29"/>
      <c r="BD1077" s="29"/>
      <c r="BE1077" s="29"/>
      <c r="BF1077" s="29"/>
      <c r="BG1077" s="29"/>
      <c r="BH1077" s="29"/>
      <c r="BI1077" s="29"/>
      <c r="BJ1077" s="29"/>
      <c r="BK1077" s="29"/>
      <c r="BL1077" s="29"/>
      <c r="BM1077" s="29"/>
      <c r="BN1077" s="29"/>
      <c r="BO1077" s="29"/>
      <c r="BP1077" s="29"/>
      <c r="BQ1077" s="29"/>
      <c r="BR1077" s="29"/>
      <c r="BS1077" s="29"/>
      <c r="BT1077" s="29"/>
      <c r="BU1077" s="29"/>
    </row>
    <row r="1078" spans="34:73" x14ac:dyDescent="0.25"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  <c r="AY1078" s="29"/>
      <c r="AZ1078" s="29"/>
      <c r="BA1078" s="29"/>
      <c r="BB1078" s="29"/>
      <c r="BC1078" s="29"/>
      <c r="BD1078" s="29"/>
      <c r="BE1078" s="29"/>
      <c r="BF1078" s="29"/>
      <c r="BG1078" s="29"/>
      <c r="BH1078" s="29"/>
      <c r="BI1078" s="29"/>
      <c r="BJ1078" s="29"/>
      <c r="BK1078" s="29"/>
      <c r="BL1078" s="29"/>
      <c r="BM1078" s="29"/>
      <c r="BN1078" s="29"/>
      <c r="BO1078" s="29"/>
      <c r="BP1078" s="29"/>
      <c r="BQ1078" s="29"/>
      <c r="BR1078" s="29"/>
      <c r="BS1078" s="29"/>
      <c r="BT1078" s="29"/>
      <c r="BU1078" s="29"/>
    </row>
    <row r="1079" spans="34:73" x14ac:dyDescent="0.25"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  <c r="AY1079" s="29"/>
      <c r="AZ1079" s="29"/>
      <c r="BA1079" s="29"/>
      <c r="BB1079" s="29"/>
      <c r="BC1079" s="29"/>
      <c r="BD1079" s="29"/>
      <c r="BE1079" s="29"/>
      <c r="BF1079" s="29"/>
      <c r="BG1079" s="29"/>
      <c r="BH1079" s="29"/>
      <c r="BI1079" s="29"/>
      <c r="BJ1079" s="29"/>
      <c r="BK1079" s="29"/>
      <c r="BL1079" s="29"/>
      <c r="BM1079" s="29"/>
      <c r="BN1079" s="29"/>
      <c r="BO1079" s="29"/>
      <c r="BP1079" s="29"/>
      <c r="BQ1079" s="29"/>
      <c r="BR1079" s="29"/>
      <c r="BS1079" s="29"/>
      <c r="BT1079" s="29"/>
      <c r="BU1079" s="29"/>
    </row>
    <row r="1080" spans="34:73" x14ac:dyDescent="0.25"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X1080" s="29"/>
      <c r="AY1080" s="29"/>
      <c r="AZ1080" s="29"/>
      <c r="BA1080" s="29"/>
      <c r="BB1080" s="29"/>
      <c r="BC1080" s="29"/>
      <c r="BD1080" s="29"/>
      <c r="BE1080" s="29"/>
      <c r="BF1080" s="29"/>
      <c r="BG1080" s="29"/>
      <c r="BH1080" s="29"/>
      <c r="BI1080" s="29"/>
      <c r="BJ1080" s="29"/>
      <c r="BK1080" s="29"/>
      <c r="BL1080" s="29"/>
      <c r="BM1080" s="29"/>
      <c r="BN1080" s="29"/>
      <c r="BO1080" s="29"/>
      <c r="BP1080" s="29"/>
      <c r="BQ1080" s="29"/>
      <c r="BR1080" s="29"/>
      <c r="BS1080" s="29"/>
      <c r="BT1080" s="29"/>
      <c r="BU1080" s="29"/>
    </row>
    <row r="1081" spans="34:73" x14ac:dyDescent="0.25"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X1081" s="29"/>
      <c r="AY1081" s="29"/>
      <c r="AZ1081" s="29"/>
      <c r="BA1081" s="29"/>
      <c r="BB1081" s="29"/>
      <c r="BC1081" s="29"/>
      <c r="BD1081" s="29"/>
      <c r="BE1081" s="29"/>
      <c r="BF1081" s="29"/>
      <c r="BG1081" s="29"/>
      <c r="BH1081" s="29"/>
      <c r="BI1081" s="29"/>
      <c r="BJ1081" s="29"/>
      <c r="BK1081" s="29"/>
      <c r="BL1081" s="29"/>
      <c r="BM1081" s="29"/>
      <c r="BN1081" s="29"/>
      <c r="BO1081" s="29"/>
      <c r="BP1081" s="29"/>
      <c r="BQ1081" s="29"/>
      <c r="BR1081" s="29"/>
      <c r="BS1081" s="29"/>
      <c r="BT1081" s="29"/>
      <c r="BU1081" s="29"/>
    </row>
    <row r="1082" spans="34:73" x14ac:dyDescent="0.25"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  <c r="AY1082" s="29"/>
      <c r="AZ1082" s="29"/>
      <c r="BA1082" s="29"/>
      <c r="BB1082" s="29"/>
      <c r="BC1082" s="29"/>
      <c r="BD1082" s="29"/>
      <c r="BE1082" s="29"/>
      <c r="BF1082" s="29"/>
      <c r="BG1082" s="29"/>
      <c r="BH1082" s="29"/>
      <c r="BI1082" s="29"/>
      <c r="BJ1082" s="29"/>
      <c r="BK1082" s="29"/>
      <c r="BL1082" s="29"/>
      <c r="BM1082" s="29"/>
      <c r="BN1082" s="29"/>
      <c r="BO1082" s="29"/>
      <c r="BP1082" s="29"/>
      <c r="BQ1082" s="29"/>
      <c r="BR1082" s="29"/>
      <c r="BS1082" s="29"/>
      <c r="BT1082" s="29"/>
      <c r="BU1082" s="29"/>
    </row>
    <row r="1083" spans="34:73" x14ac:dyDescent="0.25"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  <c r="AY1083" s="29"/>
      <c r="AZ1083" s="29"/>
      <c r="BA1083" s="29"/>
      <c r="BB1083" s="29"/>
      <c r="BC1083" s="29"/>
      <c r="BD1083" s="29"/>
      <c r="BE1083" s="29"/>
      <c r="BF1083" s="29"/>
      <c r="BG1083" s="29"/>
      <c r="BH1083" s="29"/>
      <c r="BI1083" s="29"/>
      <c r="BJ1083" s="29"/>
      <c r="BK1083" s="29"/>
      <c r="BL1083" s="29"/>
      <c r="BM1083" s="29"/>
      <c r="BN1083" s="29"/>
      <c r="BO1083" s="29"/>
      <c r="BP1083" s="29"/>
      <c r="BQ1083" s="29"/>
      <c r="BR1083" s="29"/>
      <c r="BS1083" s="29"/>
      <c r="BT1083" s="29"/>
      <c r="BU1083" s="29"/>
    </row>
    <row r="1084" spans="34:73" x14ac:dyDescent="0.25"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X1084" s="29"/>
      <c r="AY1084" s="29"/>
      <c r="AZ1084" s="29"/>
      <c r="BA1084" s="29"/>
      <c r="BB1084" s="29"/>
      <c r="BC1084" s="29"/>
      <c r="BD1084" s="29"/>
      <c r="BE1084" s="29"/>
      <c r="BF1084" s="29"/>
      <c r="BG1084" s="29"/>
      <c r="BH1084" s="29"/>
      <c r="BI1084" s="29"/>
      <c r="BJ1084" s="29"/>
      <c r="BK1084" s="29"/>
      <c r="BL1084" s="29"/>
      <c r="BM1084" s="29"/>
      <c r="BN1084" s="29"/>
      <c r="BO1084" s="29"/>
      <c r="BP1084" s="29"/>
      <c r="BQ1084" s="29"/>
      <c r="BR1084" s="29"/>
      <c r="BS1084" s="29"/>
      <c r="BT1084" s="29"/>
      <c r="BU1084" s="29"/>
    </row>
    <row r="1085" spans="34:73" x14ac:dyDescent="0.25"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X1085" s="29"/>
      <c r="AY1085" s="29"/>
      <c r="AZ1085" s="29"/>
      <c r="BA1085" s="29"/>
      <c r="BB1085" s="29"/>
      <c r="BC1085" s="29"/>
      <c r="BD1085" s="29"/>
      <c r="BE1085" s="29"/>
      <c r="BF1085" s="29"/>
      <c r="BG1085" s="29"/>
      <c r="BH1085" s="29"/>
      <c r="BI1085" s="29"/>
      <c r="BJ1085" s="29"/>
      <c r="BK1085" s="29"/>
      <c r="BL1085" s="29"/>
      <c r="BM1085" s="29"/>
      <c r="BN1085" s="29"/>
      <c r="BO1085" s="29"/>
      <c r="BP1085" s="29"/>
      <c r="BQ1085" s="29"/>
      <c r="BR1085" s="29"/>
      <c r="BS1085" s="29"/>
      <c r="BT1085" s="29"/>
      <c r="BU1085" s="29"/>
    </row>
    <row r="1086" spans="34:73" x14ac:dyDescent="0.25"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  <c r="AY1086" s="29"/>
      <c r="AZ1086" s="29"/>
      <c r="BA1086" s="29"/>
      <c r="BB1086" s="29"/>
      <c r="BC1086" s="29"/>
      <c r="BD1086" s="29"/>
      <c r="BE1086" s="29"/>
      <c r="BF1086" s="29"/>
      <c r="BG1086" s="29"/>
      <c r="BH1086" s="29"/>
      <c r="BI1086" s="29"/>
      <c r="BJ1086" s="29"/>
      <c r="BK1086" s="29"/>
      <c r="BL1086" s="29"/>
      <c r="BM1086" s="29"/>
      <c r="BN1086" s="29"/>
      <c r="BO1086" s="29"/>
      <c r="BP1086" s="29"/>
      <c r="BQ1086" s="29"/>
      <c r="BR1086" s="29"/>
      <c r="BS1086" s="29"/>
      <c r="BT1086" s="29"/>
      <c r="BU1086" s="29"/>
    </row>
    <row r="1087" spans="34:73" x14ac:dyDescent="0.25"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X1087" s="29"/>
      <c r="AY1087" s="29"/>
      <c r="AZ1087" s="29"/>
      <c r="BA1087" s="29"/>
      <c r="BB1087" s="29"/>
      <c r="BC1087" s="29"/>
      <c r="BD1087" s="29"/>
      <c r="BE1087" s="29"/>
      <c r="BF1087" s="29"/>
      <c r="BG1087" s="29"/>
      <c r="BH1087" s="29"/>
      <c r="BI1087" s="29"/>
      <c r="BJ1087" s="29"/>
      <c r="BK1087" s="29"/>
      <c r="BL1087" s="29"/>
      <c r="BM1087" s="29"/>
      <c r="BN1087" s="29"/>
      <c r="BO1087" s="29"/>
      <c r="BP1087" s="29"/>
      <c r="BQ1087" s="29"/>
      <c r="BR1087" s="29"/>
      <c r="BS1087" s="29"/>
      <c r="BT1087" s="29"/>
      <c r="BU1087" s="29"/>
    </row>
    <row r="1088" spans="34:73" x14ac:dyDescent="0.25"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X1088" s="29"/>
      <c r="AY1088" s="29"/>
      <c r="AZ1088" s="29"/>
      <c r="BA1088" s="29"/>
      <c r="BB1088" s="29"/>
      <c r="BC1088" s="29"/>
      <c r="BD1088" s="29"/>
      <c r="BE1088" s="29"/>
      <c r="BF1088" s="29"/>
      <c r="BG1088" s="29"/>
      <c r="BH1088" s="29"/>
      <c r="BI1088" s="29"/>
      <c r="BJ1088" s="29"/>
      <c r="BK1088" s="29"/>
      <c r="BL1088" s="29"/>
      <c r="BM1088" s="29"/>
      <c r="BN1088" s="29"/>
      <c r="BO1088" s="29"/>
      <c r="BP1088" s="29"/>
      <c r="BQ1088" s="29"/>
      <c r="BR1088" s="29"/>
      <c r="BS1088" s="29"/>
      <c r="BT1088" s="29"/>
      <c r="BU1088" s="29"/>
    </row>
    <row r="1089" spans="34:73" x14ac:dyDescent="0.25"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X1089" s="29"/>
      <c r="AY1089" s="29"/>
      <c r="AZ1089" s="29"/>
      <c r="BA1089" s="29"/>
      <c r="BB1089" s="29"/>
      <c r="BC1089" s="29"/>
      <c r="BD1089" s="29"/>
      <c r="BE1089" s="29"/>
      <c r="BF1089" s="29"/>
      <c r="BG1089" s="29"/>
      <c r="BH1089" s="29"/>
      <c r="BI1089" s="29"/>
      <c r="BJ1089" s="29"/>
      <c r="BK1089" s="29"/>
      <c r="BL1089" s="29"/>
      <c r="BM1089" s="29"/>
      <c r="BN1089" s="29"/>
      <c r="BO1089" s="29"/>
      <c r="BP1089" s="29"/>
      <c r="BQ1089" s="29"/>
      <c r="BR1089" s="29"/>
      <c r="BS1089" s="29"/>
      <c r="BT1089" s="29"/>
      <c r="BU1089" s="29"/>
    </row>
    <row r="1090" spans="34:73" x14ac:dyDescent="0.25"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X1090" s="29"/>
      <c r="AY1090" s="29"/>
      <c r="AZ1090" s="29"/>
      <c r="BA1090" s="29"/>
      <c r="BB1090" s="29"/>
      <c r="BC1090" s="29"/>
      <c r="BD1090" s="29"/>
      <c r="BE1090" s="29"/>
      <c r="BF1090" s="29"/>
      <c r="BG1090" s="29"/>
      <c r="BH1090" s="29"/>
      <c r="BI1090" s="29"/>
      <c r="BJ1090" s="29"/>
      <c r="BK1090" s="29"/>
      <c r="BL1090" s="29"/>
      <c r="BM1090" s="29"/>
      <c r="BN1090" s="29"/>
      <c r="BO1090" s="29"/>
      <c r="BP1090" s="29"/>
      <c r="BQ1090" s="29"/>
      <c r="BR1090" s="29"/>
      <c r="BS1090" s="29"/>
      <c r="BT1090" s="29"/>
      <c r="BU1090" s="29"/>
    </row>
    <row r="1091" spans="34:73" x14ac:dyDescent="0.25"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X1091" s="29"/>
      <c r="AY1091" s="29"/>
      <c r="AZ1091" s="29"/>
      <c r="BA1091" s="29"/>
      <c r="BB1091" s="29"/>
      <c r="BC1091" s="29"/>
      <c r="BD1091" s="29"/>
      <c r="BE1091" s="29"/>
      <c r="BF1091" s="29"/>
      <c r="BG1091" s="29"/>
      <c r="BH1091" s="29"/>
      <c r="BI1091" s="29"/>
      <c r="BJ1091" s="29"/>
      <c r="BK1091" s="29"/>
      <c r="BL1091" s="29"/>
      <c r="BM1091" s="29"/>
      <c r="BN1091" s="29"/>
      <c r="BO1091" s="29"/>
      <c r="BP1091" s="29"/>
      <c r="BQ1091" s="29"/>
      <c r="BR1091" s="29"/>
      <c r="BS1091" s="29"/>
      <c r="BT1091" s="29"/>
      <c r="BU1091" s="29"/>
    </row>
    <row r="1092" spans="34:73" x14ac:dyDescent="0.25"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29"/>
      <c r="BD1092" s="29"/>
      <c r="BE1092" s="29"/>
      <c r="BF1092" s="29"/>
      <c r="BG1092" s="29"/>
      <c r="BH1092" s="29"/>
      <c r="BI1092" s="29"/>
      <c r="BJ1092" s="29"/>
      <c r="BK1092" s="29"/>
      <c r="BL1092" s="29"/>
      <c r="BM1092" s="29"/>
      <c r="BN1092" s="29"/>
      <c r="BO1092" s="29"/>
      <c r="BP1092" s="29"/>
      <c r="BQ1092" s="29"/>
      <c r="BR1092" s="29"/>
      <c r="BS1092" s="29"/>
      <c r="BT1092" s="29"/>
      <c r="BU1092" s="29"/>
    </row>
    <row r="1093" spans="34:73" x14ac:dyDescent="0.25"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X1093" s="29"/>
      <c r="AY1093" s="29"/>
      <c r="AZ1093" s="29"/>
      <c r="BA1093" s="29"/>
      <c r="BB1093" s="29"/>
      <c r="BC1093" s="29"/>
      <c r="BD1093" s="29"/>
      <c r="BE1093" s="29"/>
      <c r="BF1093" s="29"/>
      <c r="BG1093" s="29"/>
      <c r="BH1093" s="29"/>
      <c r="BI1093" s="29"/>
      <c r="BJ1093" s="29"/>
      <c r="BK1093" s="29"/>
      <c r="BL1093" s="29"/>
      <c r="BM1093" s="29"/>
      <c r="BN1093" s="29"/>
      <c r="BO1093" s="29"/>
      <c r="BP1093" s="29"/>
      <c r="BQ1093" s="29"/>
      <c r="BR1093" s="29"/>
      <c r="BS1093" s="29"/>
      <c r="BT1093" s="29"/>
      <c r="BU1093" s="29"/>
    </row>
    <row r="1094" spans="34:73" x14ac:dyDescent="0.25"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  <c r="AY1094" s="29"/>
      <c r="AZ1094" s="29"/>
      <c r="BA1094" s="29"/>
      <c r="BB1094" s="29"/>
      <c r="BC1094" s="29"/>
      <c r="BD1094" s="29"/>
      <c r="BE1094" s="29"/>
      <c r="BF1094" s="29"/>
      <c r="BG1094" s="29"/>
      <c r="BH1094" s="29"/>
      <c r="BI1094" s="29"/>
      <c r="BJ1094" s="29"/>
      <c r="BK1094" s="29"/>
      <c r="BL1094" s="29"/>
      <c r="BM1094" s="29"/>
      <c r="BN1094" s="29"/>
      <c r="BO1094" s="29"/>
      <c r="BP1094" s="29"/>
      <c r="BQ1094" s="29"/>
      <c r="BR1094" s="29"/>
      <c r="BS1094" s="29"/>
      <c r="BT1094" s="29"/>
      <c r="BU1094" s="29"/>
    </row>
    <row r="1095" spans="34:73" x14ac:dyDescent="0.25"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29"/>
      <c r="BD1095" s="29"/>
      <c r="BE1095" s="29"/>
      <c r="BF1095" s="29"/>
      <c r="BG1095" s="29"/>
      <c r="BH1095" s="29"/>
      <c r="BI1095" s="29"/>
      <c r="BJ1095" s="29"/>
      <c r="BK1095" s="29"/>
      <c r="BL1095" s="29"/>
      <c r="BM1095" s="29"/>
      <c r="BN1095" s="29"/>
      <c r="BO1095" s="29"/>
      <c r="BP1095" s="29"/>
      <c r="BQ1095" s="29"/>
      <c r="BR1095" s="29"/>
      <c r="BS1095" s="29"/>
      <c r="BT1095" s="29"/>
      <c r="BU1095" s="29"/>
    </row>
    <row r="1096" spans="34:73" x14ac:dyDescent="0.25"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29"/>
      <c r="BE1096" s="29"/>
      <c r="BF1096" s="29"/>
      <c r="BG1096" s="29"/>
      <c r="BH1096" s="29"/>
      <c r="BI1096" s="29"/>
      <c r="BJ1096" s="29"/>
      <c r="BK1096" s="29"/>
      <c r="BL1096" s="29"/>
      <c r="BM1096" s="29"/>
      <c r="BN1096" s="29"/>
      <c r="BO1096" s="29"/>
      <c r="BP1096" s="29"/>
      <c r="BQ1096" s="29"/>
      <c r="BR1096" s="29"/>
      <c r="BS1096" s="29"/>
      <c r="BT1096" s="29"/>
      <c r="BU1096" s="29"/>
    </row>
    <row r="1097" spans="34:73" x14ac:dyDescent="0.25"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  <c r="AY1097" s="29"/>
      <c r="AZ1097" s="29"/>
      <c r="BA1097" s="29"/>
      <c r="BB1097" s="29"/>
      <c r="BC1097" s="29"/>
      <c r="BD1097" s="29"/>
      <c r="BE1097" s="29"/>
      <c r="BF1097" s="29"/>
      <c r="BG1097" s="29"/>
      <c r="BH1097" s="29"/>
      <c r="BI1097" s="29"/>
      <c r="BJ1097" s="29"/>
      <c r="BK1097" s="29"/>
      <c r="BL1097" s="29"/>
      <c r="BM1097" s="29"/>
      <c r="BN1097" s="29"/>
      <c r="BO1097" s="29"/>
      <c r="BP1097" s="29"/>
      <c r="BQ1097" s="29"/>
      <c r="BR1097" s="29"/>
      <c r="BS1097" s="29"/>
      <c r="BT1097" s="29"/>
      <c r="BU1097" s="29"/>
    </row>
    <row r="1098" spans="34:73" x14ac:dyDescent="0.25"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X1098" s="29"/>
      <c r="AY1098" s="29"/>
      <c r="AZ1098" s="29"/>
      <c r="BA1098" s="29"/>
      <c r="BB1098" s="29"/>
      <c r="BC1098" s="29"/>
      <c r="BD1098" s="29"/>
      <c r="BE1098" s="29"/>
      <c r="BF1098" s="29"/>
      <c r="BG1098" s="29"/>
      <c r="BH1098" s="29"/>
      <c r="BI1098" s="29"/>
      <c r="BJ1098" s="29"/>
      <c r="BK1098" s="29"/>
      <c r="BL1098" s="29"/>
      <c r="BM1098" s="29"/>
      <c r="BN1098" s="29"/>
      <c r="BO1098" s="29"/>
      <c r="BP1098" s="29"/>
      <c r="BQ1098" s="29"/>
      <c r="BR1098" s="29"/>
      <c r="BS1098" s="29"/>
      <c r="BT1098" s="29"/>
      <c r="BU1098" s="29"/>
    </row>
    <row r="1099" spans="34:73" x14ac:dyDescent="0.25"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X1099" s="29"/>
      <c r="AY1099" s="29"/>
      <c r="AZ1099" s="29"/>
      <c r="BA1099" s="29"/>
      <c r="BB1099" s="29"/>
      <c r="BC1099" s="29"/>
      <c r="BD1099" s="29"/>
      <c r="BE1099" s="29"/>
      <c r="BF1099" s="29"/>
      <c r="BG1099" s="29"/>
      <c r="BH1099" s="29"/>
      <c r="BI1099" s="29"/>
      <c r="BJ1099" s="29"/>
      <c r="BK1099" s="29"/>
      <c r="BL1099" s="29"/>
      <c r="BM1099" s="29"/>
      <c r="BN1099" s="29"/>
      <c r="BO1099" s="29"/>
      <c r="BP1099" s="29"/>
      <c r="BQ1099" s="29"/>
      <c r="BR1099" s="29"/>
      <c r="BS1099" s="29"/>
      <c r="BT1099" s="29"/>
      <c r="BU1099" s="29"/>
    </row>
    <row r="1100" spans="34:73" x14ac:dyDescent="0.25"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X1100" s="29"/>
      <c r="AY1100" s="29"/>
      <c r="AZ1100" s="29"/>
      <c r="BA1100" s="29"/>
      <c r="BB1100" s="29"/>
      <c r="BC1100" s="29"/>
      <c r="BD1100" s="29"/>
      <c r="BE1100" s="29"/>
      <c r="BF1100" s="29"/>
      <c r="BG1100" s="29"/>
      <c r="BH1100" s="29"/>
      <c r="BI1100" s="29"/>
      <c r="BJ1100" s="29"/>
      <c r="BK1100" s="29"/>
      <c r="BL1100" s="29"/>
      <c r="BM1100" s="29"/>
      <c r="BN1100" s="29"/>
      <c r="BO1100" s="29"/>
      <c r="BP1100" s="29"/>
      <c r="BQ1100" s="29"/>
      <c r="BR1100" s="29"/>
      <c r="BS1100" s="29"/>
      <c r="BT1100" s="29"/>
      <c r="BU1100" s="29"/>
    </row>
    <row r="1101" spans="34:73" x14ac:dyDescent="0.25"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/>
      <c r="BB1101" s="29"/>
      <c r="BC1101" s="29"/>
      <c r="BD1101" s="29"/>
      <c r="BE1101" s="29"/>
      <c r="BF1101" s="29"/>
      <c r="BG1101" s="29"/>
      <c r="BH1101" s="29"/>
      <c r="BI1101" s="29"/>
      <c r="BJ1101" s="29"/>
      <c r="BK1101" s="29"/>
      <c r="BL1101" s="29"/>
      <c r="BM1101" s="29"/>
      <c r="BN1101" s="29"/>
      <c r="BO1101" s="29"/>
      <c r="BP1101" s="29"/>
      <c r="BQ1101" s="29"/>
      <c r="BR1101" s="29"/>
      <c r="BS1101" s="29"/>
      <c r="BT1101" s="29"/>
      <c r="BU1101" s="29"/>
    </row>
    <row r="1102" spans="34:73" x14ac:dyDescent="0.25"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  <c r="AY1102" s="29"/>
      <c r="AZ1102" s="29"/>
      <c r="BA1102" s="29"/>
      <c r="BB1102" s="29"/>
      <c r="BC1102" s="29"/>
      <c r="BD1102" s="29"/>
      <c r="BE1102" s="29"/>
      <c r="BF1102" s="29"/>
      <c r="BG1102" s="29"/>
      <c r="BH1102" s="29"/>
      <c r="BI1102" s="29"/>
      <c r="BJ1102" s="29"/>
      <c r="BK1102" s="29"/>
      <c r="BL1102" s="29"/>
      <c r="BM1102" s="29"/>
      <c r="BN1102" s="29"/>
      <c r="BO1102" s="29"/>
      <c r="BP1102" s="29"/>
      <c r="BQ1102" s="29"/>
      <c r="BR1102" s="29"/>
      <c r="BS1102" s="29"/>
      <c r="BT1102" s="29"/>
      <c r="BU1102" s="29"/>
    </row>
    <row r="1103" spans="34:73" x14ac:dyDescent="0.25"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/>
      <c r="BB1103" s="29"/>
      <c r="BC1103" s="29"/>
      <c r="BD1103" s="29"/>
      <c r="BE1103" s="29"/>
      <c r="BF1103" s="29"/>
      <c r="BG1103" s="29"/>
      <c r="BH1103" s="29"/>
      <c r="BI1103" s="29"/>
      <c r="BJ1103" s="29"/>
      <c r="BK1103" s="29"/>
      <c r="BL1103" s="29"/>
      <c r="BM1103" s="29"/>
      <c r="BN1103" s="29"/>
      <c r="BO1103" s="29"/>
      <c r="BP1103" s="29"/>
      <c r="BQ1103" s="29"/>
      <c r="BR1103" s="29"/>
      <c r="BS1103" s="29"/>
      <c r="BT1103" s="29"/>
      <c r="BU1103" s="29"/>
    </row>
    <row r="1104" spans="34:73" x14ac:dyDescent="0.25"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  <c r="AY1104" s="29"/>
      <c r="AZ1104" s="29"/>
      <c r="BA1104" s="29"/>
      <c r="BB1104" s="29"/>
      <c r="BC1104" s="29"/>
      <c r="BD1104" s="29"/>
      <c r="BE1104" s="29"/>
      <c r="BF1104" s="29"/>
      <c r="BG1104" s="29"/>
      <c r="BH1104" s="29"/>
      <c r="BI1104" s="29"/>
      <c r="BJ1104" s="29"/>
      <c r="BK1104" s="29"/>
      <c r="BL1104" s="29"/>
      <c r="BM1104" s="29"/>
      <c r="BN1104" s="29"/>
      <c r="BO1104" s="29"/>
      <c r="BP1104" s="29"/>
      <c r="BQ1104" s="29"/>
      <c r="BR1104" s="29"/>
      <c r="BS1104" s="29"/>
      <c r="BT1104" s="29"/>
      <c r="BU1104" s="29"/>
    </row>
    <row r="1105" spans="34:73" x14ac:dyDescent="0.25"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  <c r="AY1105" s="29"/>
      <c r="AZ1105" s="29"/>
      <c r="BA1105" s="29"/>
      <c r="BB1105" s="29"/>
      <c r="BC1105" s="29"/>
      <c r="BD1105" s="29"/>
      <c r="BE1105" s="29"/>
      <c r="BF1105" s="29"/>
      <c r="BG1105" s="29"/>
      <c r="BH1105" s="29"/>
      <c r="BI1105" s="29"/>
      <c r="BJ1105" s="29"/>
      <c r="BK1105" s="29"/>
      <c r="BL1105" s="29"/>
      <c r="BM1105" s="29"/>
      <c r="BN1105" s="29"/>
      <c r="BO1105" s="29"/>
      <c r="BP1105" s="29"/>
      <c r="BQ1105" s="29"/>
      <c r="BR1105" s="29"/>
      <c r="BS1105" s="29"/>
      <c r="BT1105" s="29"/>
      <c r="BU1105" s="29"/>
    </row>
    <row r="1106" spans="34:73" x14ac:dyDescent="0.25"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X1106" s="29"/>
      <c r="AY1106" s="29"/>
      <c r="AZ1106" s="29"/>
      <c r="BA1106" s="29"/>
      <c r="BB1106" s="29"/>
      <c r="BC1106" s="29"/>
      <c r="BD1106" s="29"/>
      <c r="BE1106" s="29"/>
      <c r="BF1106" s="29"/>
      <c r="BG1106" s="29"/>
      <c r="BH1106" s="29"/>
      <c r="BI1106" s="29"/>
      <c r="BJ1106" s="29"/>
      <c r="BK1106" s="29"/>
      <c r="BL1106" s="29"/>
      <c r="BM1106" s="29"/>
      <c r="BN1106" s="29"/>
      <c r="BO1106" s="29"/>
      <c r="BP1106" s="29"/>
      <c r="BQ1106" s="29"/>
      <c r="BR1106" s="29"/>
      <c r="BS1106" s="29"/>
      <c r="BT1106" s="29"/>
      <c r="BU1106" s="29"/>
    </row>
    <row r="1107" spans="34:73" x14ac:dyDescent="0.25"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X1107" s="29"/>
      <c r="AY1107" s="29"/>
      <c r="AZ1107" s="29"/>
      <c r="BA1107" s="29"/>
      <c r="BB1107" s="29"/>
      <c r="BC1107" s="29"/>
      <c r="BD1107" s="29"/>
      <c r="BE1107" s="29"/>
      <c r="BF1107" s="29"/>
      <c r="BG1107" s="29"/>
      <c r="BH1107" s="29"/>
      <c r="BI1107" s="29"/>
      <c r="BJ1107" s="29"/>
      <c r="BK1107" s="29"/>
      <c r="BL1107" s="29"/>
      <c r="BM1107" s="29"/>
      <c r="BN1107" s="29"/>
      <c r="BO1107" s="29"/>
      <c r="BP1107" s="29"/>
      <c r="BQ1107" s="29"/>
      <c r="BR1107" s="29"/>
      <c r="BS1107" s="29"/>
      <c r="BT1107" s="29"/>
      <c r="BU1107" s="29"/>
    </row>
    <row r="1108" spans="34:73" x14ac:dyDescent="0.25"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  <c r="AY1108" s="29"/>
      <c r="AZ1108" s="29"/>
      <c r="BA1108" s="29"/>
      <c r="BB1108" s="29"/>
      <c r="BC1108" s="29"/>
      <c r="BD1108" s="29"/>
      <c r="BE1108" s="29"/>
      <c r="BF1108" s="29"/>
      <c r="BG1108" s="29"/>
      <c r="BH1108" s="29"/>
      <c r="BI1108" s="29"/>
      <c r="BJ1108" s="29"/>
      <c r="BK1108" s="29"/>
      <c r="BL1108" s="29"/>
      <c r="BM1108" s="29"/>
      <c r="BN1108" s="29"/>
      <c r="BO1108" s="29"/>
      <c r="BP1108" s="29"/>
      <c r="BQ1108" s="29"/>
      <c r="BR1108" s="29"/>
      <c r="BS1108" s="29"/>
      <c r="BT1108" s="29"/>
      <c r="BU1108" s="29"/>
    </row>
    <row r="1109" spans="34:73" x14ac:dyDescent="0.25"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  <c r="AY1109" s="29"/>
      <c r="AZ1109" s="29"/>
      <c r="BA1109" s="29"/>
      <c r="BB1109" s="29"/>
      <c r="BC1109" s="29"/>
      <c r="BD1109" s="29"/>
      <c r="BE1109" s="29"/>
      <c r="BF1109" s="29"/>
      <c r="BG1109" s="29"/>
      <c r="BH1109" s="29"/>
      <c r="BI1109" s="29"/>
      <c r="BJ1109" s="29"/>
      <c r="BK1109" s="29"/>
      <c r="BL1109" s="29"/>
      <c r="BM1109" s="29"/>
      <c r="BN1109" s="29"/>
      <c r="BO1109" s="29"/>
      <c r="BP1109" s="29"/>
      <c r="BQ1109" s="29"/>
      <c r="BR1109" s="29"/>
      <c r="BS1109" s="29"/>
      <c r="BT1109" s="29"/>
      <c r="BU1109" s="29"/>
    </row>
    <row r="1110" spans="34:73" x14ac:dyDescent="0.25"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29"/>
      <c r="BE1110" s="29"/>
      <c r="BF1110" s="29"/>
      <c r="BG1110" s="29"/>
      <c r="BH1110" s="29"/>
      <c r="BI1110" s="29"/>
      <c r="BJ1110" s="29"/>
      <c r="BK1110" s="29"/>
      <c r="BL1110" s="29"/>
      <c r="BM1110" s="29"/>
      <c r="BN1110" s="29"/>
      <c r="BO1110" s="29"/>
      <c r="BP1110" s="29"/>
      <c r="BQ1110" s="29"/>
      <c r="BR1110" s="29"/>
      <c r="BS1110" s="29"/>
      <c r="BT1110" s="29"/>
      <c r="BU1110" s="29"/>
    </row>
    <row r="1111" spans="34:73" x14ac:dyDescent="0.25"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X1111" s="29"/>
      <c r="AY1111" s="29"/>
      <c r="AZ1111" s="29"/>
      <c r="BA1111" s="29"/>
      <c r="BB1111" s="29"/>
      <c r="BC1111" s="29"/>
      <c r="BD1111" s="29"/>
      <c r="BE1111" s="29"/>
      <c r="BF1111" s="29"/>
      <c r="BG1111" s="29"/>
      <c r="BH1111" s="29"/>
      <c r="BI1111" s="29"/>
      <c r="BJ1111" s="29"/>
      <c r="BK1111" s="29"/>
      <c r="BL1111" s="29"/>
      <c r="BM1111" s="29"/>
      <c r="BN1111" s="29"/>
      <c r="BO1111" s="29"/>
      <c r="BP1111" s="29"/>
      <c r="BQ1111" s="29"/>
      <c r="BR1111" s="29"/>
      <c r="BS1111" s="29"/>
      <c r="BT1111" s="29"/>
      <c r="BU1111" s="29"/>
    </row>
    <row r="1112" spans="34:73" x14ac:dyDescent="0.25"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29"/>
      <c r="AZ1112" s="29"/>
      <c r="BA1112" s="29"/>
      <c r="BB1112" s="29"/>
      <c r="BC1112" s="29"/>
      <c r="BD1112" s="29"/>
      <c r="BE1112" s="29"/>
      <c r="BF1112" s="29"/>
      <c r="BG1112" s="29"/>
      <c r="BH1112" s="29"/>
      <c r="BI1112" s="29"/>
      <c r="BJ1112" s="29"/>
      <c r="BK1112" s="29"/>
      <c r="BL1112" s="29"/>
      <c r="BM1112" s="29"/>
      <c r="BN1112" s="29"/>
      <c r="BO1112" s="29"/>
      <c r="BP1112" s="29"/>
      <c r="BQ1112" s="29"/>
      <c r="BR1112" s="29"/>
      <c r="BS1112" s="29"/>
      <c r="BT1112" s="29"/>
      <c r="BU1112" s="29"/>
    </row>
    <row r="1113" spans="34:73" x14ac:dyDescent="0.25"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  <c r="AY1113" s="29"/>
      <c r="AZ1113" s="29"/>
      <c r="BA1113" s="29"/>
      <c r="BB1113" s="29"/>
      <c r="BC1113" s="29"/>
      <c r="BD1113" s="29"/>
      <c r="BE1113" s="29"/>
      <c r="BF1113" s="29"/>
      <c r="BG1113" s="29"/>
      <c r="BH1113" s="29"/>
      <c r="BI1113" s="29"/>
      <c r="BJ1113" s="29"/>
      <c r="BK1113" s="29"/>
      <c r="BL1113" s="29"/>
      <c r="BM1113" s="29"/>
      <c r="BN1113" s="29"/>
      <c r="BO1113" s="29"/>
      <c r="BP1113" s="29"/>
      <c r="BQ1113" s="29"/>
      <c r="BR1113" s="29"/>
      <c r="BS1113" s="29"/>
      <c r="BT1113" s="29"/>
      <c r="BU1113" s="29"/>
    </row>
    <row r="1114" spans="34:73" x14ac:dyDescent="0.25"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  <c r="AY1114" s="29"/>
      <c r="AZ1114" s="29"/>
      <c r="BA1114" s="29"/>
      <c r="BB1114" s="29"/>
      <c r="BC1114" s="29"/>
      <c r="BD1114" s="29"/>
      <c r="BE1114" s="29"/>
      <c r="BF1114" s="29"/>
      <c r="BG1114" s="29"/>
      <c r="BH1114" s="29"/>
      <c r="BI1114" s="29"/>
      <c r="BJ1114" s="29"/>
      <c r="BK1114" s="29"/>
      <c r="BL1114" s="29"/>
      <c r="BM1114" s="29"/>
      <c r="BN1114" s="29"/>
      <c r="BO1114" s="29"/>
      <c r="BP1114" s="29"/>
      <c r="BQ1114" s="29"/>
      <c r="BR1114" s="29"/>
      <c r="BS1114" s="29"/>
      <c r="BT1114" s="29"/>
      <c r="BU1114" s="29"/>
    </row>
    <row r="1115" spans="34:73" x14ac:dyDescent="0.25"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  <c r="AY1115" s="29"/>
      <c r="AZ1115" s="29"/>
      <c r="BA1115" s="29"/>
      <c r="BB1115" s="29"/>
      <c r="BC1115" s="29"/>
      <c r="BD1115" s="29"/>
      <c r="BE1115" s="29"/>
      <c r="BF1115" s="29"/>
      <c r="BG1115" s="29"/>
      <c r="BH1115" s="29"/>
      <c r="BI1115" s="29"/>
      <c r="BJ1115" s="29"/>
      <c r="BK1115" s="29"/>
      <c r="BL1115" s="29"/>
      <c r="BM1115" s="29"/>
      <c r="BN1115" s="29"/>
      <c r="BO1115" s="29"/>
      <c r="BP1115" s="29"/>
      <c r="BQ1115" s="29"/>
      <c r="BR1115" s="29"/>
      <c r="BS1115" s="29"/>
      <c r="BT1115" s="29"/>
      <c r="BU1115" s="29"/>
    </row>
    <row r="1116" spans="34:73" x14ac:dyDescent="0.25"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X1116" s="29"/>
      <c r="AY1116" s="29"/>
      <c r="AZ1116" s="29"/>
      <c r="BA1116" s="29"/>
      <c r="BB1116" s="29"/>
      <c r="BC1116" s="29"/>
      <c r="BD1116" s="29"/>
      <c r="BE1116" s="29"/>
      <c r="BF1116" s="29"/>
      <c r="BG1116" s="29"/>
      <c r="BH1116" s="29"/>
      <c r="BI1116" s="29"/>
      <c r="BJ1116" s="29"/>
      <c r="BK1116" s="29"/>
      <c r="BL1116" s="29"/>
      <c r="BM1116" s="29"/>
      <c r="BN1116" s="29"/>
      <c r="BO1116" s="29"/>
      <c r="BP1116" s="29"/>
      <c r="BQ1116" s="29"/>
      <c r="BR1116" s="29"/>
      <c r="BS1116" s="29"/>
      <c r="BT1116" s="29"/>
      <c r="BU1116" s="29"/>
    </row>
    <row r="1117" spans="34:73" x14ac:dyDescent="0.25"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29"/>
      <c r="BD1117" s="29"/>
      <c r="BE1117" s="29"/>
      <c r="BF1117" s="29"/>
      <c r="BG1117" s="29"/>
      <c r="BH1117" s="29"/>
      <c r="BI1117" s="29"/>
      <c r="BJ1117" s="29"/>
      <c r="BK1117" s="29"/>
      <c r="BL1117" s="29"/>
      <c r="BM1117" s="29"/>
      <c r="BN1117" s="29"/>
      <c r="BO1117" s="29"/>
      <c r="BP1117" s="29"/>
      <c r="BQ1117" s="29"/>
      <c r="BR1117" s="29"/>
      <c r="BS1117" s="29"/>
      <c r="BT1117" s="29"/>
      <c r="BU1117" s="29"/>
    </row>
    <row r="1118" spans="34:73" x14ac:dyDescent="0.25"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  <c r="AY1118" s="29"/>
      <c r="AZ1118" s="29"/>
      <c r="BA1118" s="29"/>
      <c r="BB1118" s="29"/>
      <c r="BC1118" s="29"/>
      <c r="BD1118" s="29"/>
      <c r="BE1118" s="29"/>
      <c r="BF1118" s="29"/>
      <c r="BG1118" s="29"/>
      <c r="BH1118" s="29"/>
      <c r="BI1118" s="29"/>
      <c r="BJ1118" s="29"/>
      <c r="BK1118" s="29"/>
      <c r="BL1118" s="29"/>
      <c r="BM1118" s="29"/>
      <c r="BN1118" s="29"/>
      <c r="BO1118" s="29"/>
      <c r="BP1118" s="29"/>
      <c r="BQ1118" s="29"/>
      <c r="BR1118" s="29"/>
      <c r="BS1118" s="29"/>
      <c r="BT1118" s="29"/>
      <c r="BU1118" s="29"/>
    </row>
    <row r="1119" spans="34:73" x14ac:dyDescent="0.25"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29"/>
      <c r="BE1119" s="29"/>
      <c r="BF1119" s="29"/>
      <c r="BG1119" s="29"/>
      <c r="BH1119" s="29"/>
      <c r="BI1119" s="29"/>
      <c r="BJ1119" s="29"/>
      <c r="BK1119" s="29"/>
      <c r="BL1119" s="29"/>
      <c r="BM1119" s="29"/>
      <c r="BN1119" s="29"/>
      <c r="BO1119" s="29"/>
      <c r="BP1119" s="29"/>
      <c r="BQ1119" s="29"/>
      <c r="BR1119" s="29"/>
      <c r="BS1119" s="29"/>
      <c r="BT1119" s="29"/>
      <c r="BU1119" s="29"/>
    </row>
    <row r="1120" spans="34:73" x14ac:dyDescent="0.25"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  <c r="AY1120" s="29"/>
      <c r="AZ1120" s="29"/>
      <c r="BA1120" s="29"/>
      <c r="BB1120" s="29"/>
      <c r="BC1120" s="29"/>
      <c r="BD1120" s="29"/>
      <c r="BE1120" s="29"/>
      <c r="BF1120" s="29"/>
      <c r="BG1120" s="29"/>
      <c r="BH1120" s="29"/>
      <c r="BI1120" s="29"/>
      <c r="BJ1120" s="29"/>
      <c r="BK1120" s="29"/>
      <c r="BL1120" s="29"/>
      <c r="BM1120" s="29"/>
      <c r="BN1120" s="29"/>
      <c r="BO1120" s="29"/>
      <c r="BP1120" s="29"/>
      <c r="BQ1120" s="29"/>
      <c r="BR1120" s="29"/>
      <c r="BS1120" s="29"/>
      <c r="BT1120" s="29"/>
      <c r="BU1120" s="29"/>
    </row>
    <row r="1121" spans="34:73" x14ac:dyDescent="0.25"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  <c r="AY1121" s="29"/>
      <c r="AZ1121" s="29"/>
      <c r="BA1121" s="29"/>
      <c r="BB1121" s="29"/>
      <c r="BC1121" s="29"/>
      <c r="BD1121" s="29"/>
      <c r="BE1121" s="29"/>
      <c r="BF1121" s="29"/>
      <c r="BG1121" s="29"/>
      <c r="BH1121" s="29"/>
      <c r="BI1121" s="29"/>
      <c r="BJ1121" s="29"/>
      <c r="BK1121" s="29"/>
      <c r="BL1121" s="29"/>
      <c r="BM1121" s="29"/>
      <c r="BN1121" s="29"/>
      <c r="BO1121" s="29"/>
      <c r="BP1121" s="29"/>
      <c r="BQ1121" s="29"/>
      <c r="BR1121" s="29"/>
      <c r="BS1121" s="29"/>
      <c r="BT1121" s="29"/>
      <c r="BU1121" s="29"/>
    </row>
    <row r="1122" spans="34:73" x14ac:dyDescent="0.25"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  <c r="AY1122" s="29"/>
      <c r="AZ1122" s="29"/>
      <c r="BA1122" s="29"/>
      <c r="BB1122" s="29"/>
      <c r="BC1122" s="29"/>
      <c r="BD1122" s="29"/>
      <c r="BE1122" s="29"/>
      <c r="BF1122" s="29"/>
      <c r="BG1122" s="29"/>
      <c r="BH1122" s="29"/>
      <c r="BI1122" s="29"/>
      <c r="BJ1122" s="29"/>
      <c r="BK1122" s="29"/>
      <c r="BL1122" s="29"/>
      <c r="BM1122" s="29"/>
      <c r="BN1122" s="29"/>
      <c r="BO1122" s="29"/>
      <c r="BP1122" s="29"/>
      <c r="BQ1122" s="29"/>
      <c r="BR1122" s="29"/>
      <c r="BS1122" s="29"/>
      <c r="BT1122" s="29"/>
      <c r="BU1122" s="29"/>
    </row>
    <row r="1123" spans="34:73" x14ac:dyDescent="0.25"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29"/>
      <c r="BD1123" s="29"/>
      <c r="BE1123" s="29"/>
      <c r="BF1123" s="29"/>
      <c r="BG1123" s="29"/>
      <c r="BH1123" s="29"/>
      <c r="BI1123" s="29"/>
      <c r="BJ1123" s="29"/>
      <c r="BK1123" s="29"/>
      <c r="BL1123" s="29"/>
      <c r="BM1123" s="29"/>
      <c r="BN1123" s="29"/>
      <c r="BO1123" s="29"/>
      <c r="BP1123" s="29"/>
      <c r="BQ1123" s="29"/>
      <c r="BR1123" s="29"/>
      <c r="BS1123" s="29"/>
      <c r="BT1123" s="29"/>
      <c r="BU1123" s="29"/>
    </row>
    <row r="1124" spans="34:73" x14ac:dyDescent="0.25"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  <c r="AY1124" s="29"/>
      <c r="AZ1124" s="29"/>
      <c r="BA1124" s="29"/>
      <c r="BB1124" s="29"/>
      <c r="BC1124" s="29"/>
      <c r="BD1124" s="29"/>
      <c r="BE1124" s="29"/>
      <c r="BF1124" s="29"/>
      <c r="BG1124" s="29"/>
      <c r="BH1124" s="29"/>
      <c r="BI1124" s="29"/>
      <c r="BJ1124" s="29"/>
      <c r="BK1124" s="29"/>
      <c r="BL1124" s="29"/>
      <c r="BM1124" s="29"/>
      <c r="BN1124" s="29"/>
      <c r="BO1124" s="29"/>
      <c r="BP1124" s="29"/>
      <c r="BQ1124" s="29"/>
      <c r="BR1124" s="29"/>
      <c r="BS1124" s="29"/>
      <c r="BT1124" s="29"/>
      <c r="BU1124" s="29"/>
    </row>
    <row r="1125" spans="34:73" x14ac:dyDescent="0.25"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  <c r="AY1125" s="29"/>
      <c r="AZ1125" s="29"/>
      <c r="BA1125" s="29"/>
      <c r="BB1125" s="29"/>
      <c r="BC1125" s="29"/>
      <c r="BD1125" s="29"/>
      <c r="BE1125" s="29"/>
      <c r="BF1125" s="29"/>
      <c r="BG1125" s="29"/>
      <c r="BH1125" s="29"/>
      <c r="BI1125" s="29"/>
      <c r="BJ1125" s="29"/>
      <c r="BK1125" s="29"/>
      <c r="BL1125" s="29"/>
      <c r="BM1125" s="29"/>
      <c r="BN1125" s="29"/>
      <c r="BO1125" s="29"/>
      <c r="BP1125" s="29"/>
      <c r="BQ1125" s="29"/>
      <c r="BR1125" s="29"/>
      <c r="BS1125" s="29"/>
      <c r="BT1125" s="29"/>
      <c r="BU1125" s="29"/>
    </row>
    <row r="1126" spans="34:73" x14ac:dyDescent="0.25"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  <c r="AY1126" s="29"/>
      <c r="AZ1126" s="29"/>
      <c r="BA1126" s="29"/>
      <c r="BB1126" s="29"/>
      <c r="BC1126" s="29"/>
      <c r="BD1126" s="29"/>
      <c r="BE1126" s="29"/>
      <c r="BF1126" s="29"/>
      <c r="BG1126" s="29"/>
      <c r="BH1126" s="29"/>
      <c r="BI1126" s="29"/>
      <c r="BJ1126" s="29"/>
      <c r="BK1126" s="29"/>
      <c r="BL1126" s="29"/>
      <c r="BM1126" s="29"/>
      <c r="BN1126" s="29"/>
      <c r="BO1126" s="29"/>
      <c r="BP1126" s="29"/>
      <c r="BQ1126" s="29"/>
      <c r="BR1126" s="29"/>
      <c r="BS1126" s="29"/>
      <c r="BT1126" s="29"/>
      <c r="BU1126" s="29"/>
    </row>
    <row r="1127" spans="34:73" x14ac:dyDescent="0.25"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X1127" s="29"/>
      <c r="AY1127" s="29"/>
      <c r="AZ1127" s="29"/>
      <c r="BA1127" s="29"/>
      <c r="BB1127" s="29"/>
      <c r="BC1127" s="29"/>
      <c r="BD1127" s="29"/>
      <c r="BE1127" s="29"/>
      <c r="BF1127" s="29"/>
      <c r="BG1127" s="29"/>
      <c r="BH1127" s="29"/>
      <c r="BI1127" s="29"/>
      <c r="BJ1127" s="29"/>
      <c r="BK1127" s="29"/>
      <c r="BL1127" s="29"/>
      <c r="BM1127" s="29"/>
      <c r="BN1127" s="29"/>
      <c r="BO1127" s="29"/>
      <c r="BP1127" s="29"/>
      <c r="BQ1127" s="29"/>
      <c r="BR1127" s="29"/>
      <c r="BS1127" s="29"/>
      <c r="BT1127" s="29"/>
      <c r="BU1127" s="29"/>
    </row>
    <row r="1128" spans="34:73" x14ac:dyDescent="0.25"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29"/>
      <c r="BE1128" s="29"/>
      <c r="BF1128" s="29"/>
      <c r="BG1128" s="29"/>
      <c r="BH1128" s="29"/>
      <c r="BI1128" s="29"/>
      <c r="BJ1128" s="29"/>
      <c r="BK1128" s="29"/>
      <c r="BL1128" s="29"/>
      <c r="BM1128" s="29"/>
      <c r="BN1128" s="29"/>
      <c r="BO1128" s="29"/>
      <c r="BP1128" s="29"/>
      <c r="BQ1128" s="29"/>
      <c r="BR1128" s="29"/>
      <c r="BS1128" s="29"/>
      <c r="BT1128" s="29"/>
      <c r="BU1128" s="29"/>
    </row>
    <row r="1129" spans="34:73" x14ac:dyDescent="0.25"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  <c r="AY1129" s="29"/>
      <c r="AZ1129" s="29"/>
      <c r="BA1129" s="29"/>
      <c r="BB1129" s="29"/>
      <c r="BC1129" s="29"/>
      <c r="BD1129" s="29"/>
      <c r="BE1129" s="29"/>
      <c r="BF1129" s="29"/>
      <c r="BG1129" s="29"/>
      <c r="BH1129" s="29"/>
      <c r="BI1129" s="29"/>
      <c r="BJ1129" s="29"/>
      <c r="BK1129" s="29"/>
      <c r="BL1129" s="29"/>
      <c r="BM1129" s="29"/>
      <c r="BN1129" s="29"/>
      <c r="BO1129" s="29"/>
      <c r="BP1129" s="29"/>
      <c r="BQ1129" s="29"/>
      <c r="BR1129" s="29"/>
      <c r="BS1129" s="29"/>
      <c r="BT1129" s="29"/>
      <c r="BU1129" s="29"/>
    </row>
    <row r="1130" spans="34:73" x14ac:dyDescent="0.25"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29"/>
      <c r="BD1130" s="29"/>
      <c r="BE1130" s="29"/>
      <c r="BF1130" s="29"/>
      <c r="BG1130" s="29"/>
      <c r="BH1130" s="29"/>
      <c r="BI1130" s="29"/>
      <c r="BJ1130" s="29"/>
      <c r="BK1130" s="29"/>
      <c r="BL1130" s="29"/>
      <c r="BM1130" s="29"/>
      <c r="BN1130" s="29"/>
      <c r="BO1130" s="29"/>
      <c r="BP1130" s="29"/>
      <c r="BQ1130" s="29"/>
      <c r="BR1130" s="29"/>
      <c r="BS1130" s="29"/>
      <c r="BT1130" s="29"/>
      <c r="BU1130" s="29"/>
    </row>
    <row r="1131" spans="34:73" x14ac:dyDescent="0.25"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  <c r="AY1131" s="29"/>
      <c r="AZ1131" s="29"/>
      <c r="BA1131" s="29"/>
      <c r="BB1131" s="29"/>
      <c r="BC1131" s="29"/>
      <c r="BD1131" s="29"/>
      <c r="BE1131" s="29"/>
      <c r="BF1131" s="29"/>
      <c r="BG1131" s="29"/>
      <c r="BH1131" s="29"/>
      <c r="BI1131" s="29"/>
      <c r="BJ1131" s="29"/>
      <c r="BK1131" s="29"/>
      <c r="BL1131" s="29"/>
      <c r="BM1131" s="29"/>
      <c r="BN1131" s="29"/>
      <c r="BO1131" s="29"/>
      <c r="BP1131" s="29"/>
      <c r="BQ1131" s="29"/>
      <c r="BR1131" s="29"/>
      <c r="BS1131" s="29"/>
      <c r="BT1131" s="29"/>
      <c r="BU1131" s="29"/>
    </row>
    <row r="1132" spans="34:73" x14ac:dyDescent="0.25"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29"/>
      <c r="BD1132" s="29"/>
      <c r="BE1132" s="29"/>
      <c r="BF1132" s="29"/>
      <c r="BG1132" s="29"/>
      <c r="BH1132" s="29"/>
      <c r="BI1132" s="29"/>
      <c r="BJ1132" s="29"/>
      <c r="BK1132" s="29"/>
      <c r="BL1132" s="29"/>
      <c r="BM1132" s="29"/>
      <c r="BN1132" s="29"/>
      <c r="BO1132" s="29"/>
      <c r="BP1132" s="29"/>
      <c r="BQ1132" s="29"/>
      <c r="BR1132" s="29"/>
      <c r="BS1132" s="29"/>
      <c r="BT1132" s="29"/>
      <c r="BU1132" s="29"/>
    </row>
    <row r="1133" spans="34:73" x14ac:dyDescent="0.25"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  <c r="AY1133" s="29"/>
      <c r="AZ1133" s="29"/>
      <c r="BA1133" s="29"/>
      <c r="BB1133" s="29"/>
      <c r="BC1133" s="29"/>
      <c r="BD1133" s="29"/>
      <c r="BE1133" s="29"/>
      <c r="BF1133" s="29"/>
      <c r="BG1133" s="29"/>
      <c r="BH1133" s="29"/>
      <c r="BI1133" s="29"/>
      <c r="BJ1133" s="29"/>
      <c r="BK1133" s="29"/>
      <c r="BL1133" s="29"/>
      <c r="BM1133" s="29"/>
      <c r="BN1133" s="29"/>
      <c r="BO1133" s="29"/>
      <c r="BP1133" s="29"/>
      <c r="BQ1133" s="29"/>
      <c r="BR1133" s="29"/>
      <c r="BS1133" s="29"/>
      <c r="BT1133" s="29"/>
      <c r="BU1133" s="29"/>
    </row>
    <row r="1134" spans="34:73" x14ac:dyDescent="0.25"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  <c r="AY1134" s="29"/>
      <c r="AZ1134" s="29"/>
      <c r="BA1134" s="29"/>
      <c r="BB1134" s="29"/>
      <c r="BC1134" s="29"/>
      <c r="BD1134" s="29"/>
      <c r="BE1134" s="29"/>
      <c r="BF1134" s="29"/>
      <c r="BG1134" s="29"/>
      <c r="BH1134" s="29"/>
      <c r="BI1134" s="29"/>
      <c r="BJ1134" s="29"/>
      <c r="BK1134" s="29"/>
      <c r="BL1134" s="29"/>
      <c r="BM1134" s="29"/>
      <c r="BN1134" s="29"/>
      <c r="BO1134" s="29"/>
      <c r="BP1134" s="29"/>
      <c r="BQ1134" s="29"/>
      <c r="BR1134" s="29"/>
      <c r="BS1134" s="29"/>
      <c r="BT1134" s="29"/>
      <c r="BU1134" s="29"/>
    </row>
    <row r="1135" spans="34:73" x14ac:dyDescent="0.25"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29"/>
      <c r="BE1135" s="29"/>
      <c r="BF1135" s="29"/>
      <c r="BG1135" s="29"/>
      <c r="BH1135" s="29"/>
      <c r="BI1135" s="29"/>
      <c r="BJ1135" s="29"/>
      <c r="BK1135" s="29"/>
      <c r="BL1135" s="29"/>
      <c r="BM1135" s="29"/>
      <c r="BN1135" s="29"/>
      <c r="BO1135" s="29"/>
      <c r="BP1135" s="29"/>
      <c r="BQ1135" s="29"/>
      <c r="BR1135" s="29"/>
      <c r="BS1135" s="29"/>
      <c r="BT1135" s="29"/>
      <c r="BU1135" s="29"/>
    </row>
    <row r="1136" spans="34:73" x14ac:dyDescent="0.25"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  <c r="AY1136" s="29"/>
      <c r="AZ1136" s="29"/>
      <c r="BA1136" s="29"/>
      <c r="BB1136" s="29"/>
      <c r="BC1136" s="29"/>
      <c r="BD1136" s="29"/>
      <c r="BE1136" s="29"/>
      <c r="BF1136" s="29"/>
      <c r="BG1136" s="29"/>
      <c r="BH1136" s="29"/>
      <c r="BI1136" s="29"/>
      <c r="BJ1136" s="29"/>
      <c r="BK1136" s="29"/>
      <c r="BL1136" s="29"/>
      <c r="BM1136" s="29"/>
      <c r="BN1136" s="29"/>
      <c r="BO1136" s="29"/>
      <c r="BP1136" s="29"/>
      <c r="BQ1136" s="29"/>
      <c r="BR1136" s="29"/>
      <c r="BS1136" s="29"/>
      <c r="BT1136" s="29"/>
      <c r="BU1136" s="29"/>
    </row>
    <row r="1137" spans="34:73" x14ac:dyDescent="0.25"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  <c r="AY1137" s="29"/>
      <c r="AZ1137" s="29"/>
      <c r="BA1137" s="29"/>
      <c r="BB1137" s="29"/>
      <c r="BC1137" s="29"/>
      <c r="BD1137" s="29"/>
      <c r="BE1137" s="29"/>
      <c r="BF1137" s="29"/>
      <c r="BG1137" s="29"/>
      <c r="BH1137" s="29"/>
      <c r="BI1137" s="29"/>
      <c r="BJ1137" s="29"/>
      <c r="BK1137" s="29"/>
      <c r="BL1137" s="29"/>
      <c r="BM1137" s="29"/>
      <c r="BN1137" s="29"/>
      <c r="BO1137" s="29"/>
      <c r="BP1137" s="29"/>
      <c r="BQ1137" s="29"/>
      <c r="BR1137" s="29"/>
      <c r="BS1137" s="29"/>
      <c r="BT1137" s="29"/>
      <c r="BU1137" s="29"/>
    </row>
    <row r="1138" spans="34:73" x14ac:dyDescent="0.25"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  <c r="AY1138" s="29"/>
      <c r="AZ1138" s="29"/>
      <c r="BA1138" s="29"/>
      <c r="BB1138" s="29"/>
      <c r="BC1138" s="29"/>
      <c r="BD1138" s="29"/>
      <c r="BE1138" s="29"/>
      <c r="BF1138" s="29"/>
      <c r="BG1138" s="29"/>
      <c r="BH1138" s="29"/>
      <c r="BI1138" s="29"/>
      <c r="BJ1138" s="29"/>
      <c r="BK1138" s="29"/>
      <c r="BL1138" s="29"/>
      <c r="BM1138" s="29"/>
      <c r="BN1138" s="29"/>
      <c r="BO1138" s="29"/>
      <c r="BP1138" s="29"/>
      <c r="BQ1138" s="29"/>
      <c r="BR1138" s="29"/>
      <c r="BS1138" s="29"/>
      <c r="BT1138" s="29"/>
      <c r="BU1138" s="29"/>
    </row>
    <row r="1139" spans="34:73" x14ac:dyDescent="0.25"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  <c r="AY1139" s="29"/>
      <c r="AZ1139" s="29"/>
      <c r="BA1139" s="29"/>
      <c r="BB1139" s="29"/>
      <c r="BC1139" s="29"/>
      <c r="BD1139" s="29"/>
      <c r="BE1139" s="29"/>
      <c r="BF1139" s="29"/>
      <c r="BG1139" s="29"/>
      <c r="BH1139" s="29"/>
      <c r="BI1139" s="29"/>
      <c r="BJ1139" s="29"/>
      <c r="BK1139" s="29"/>
      <c r="BL1139" s="29"/>
      <c r="BM1139" s="29"/>
      <c r="BN1139" s="29"/>
      <c r="BO1139" s="29"/>
      <c r="BP1139" s="29"/>
      <c r="BQ1139" s="29"/>
      <c r="BR1139" s="29"/>
      <c r="BS1139" s="29"/>
      <c r="BT1139" s="29"/>
      <c r="BU1139" s="29"/>
    </row>
    <row r="1140" spans="34:73" x14ac:dyDescent="0.25">
      <c r="AH1140" s="29"/>
      <c r="AI1140" s="29"/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X1140" s="29"/>
      <c r="AY1140" s="29"/>
      <c r="AZ1140" s="29"/>
      <c r="BA1140" s="29"/>
      <c r="BB1140" s="29"/>
      <c r="BC1140" s="29"/>
      <c r="BD1140" s="29"/>
      <c r="BE1140" s="29"/>
      <c r="BF1140" s="29"/>
      <c r="BG1140" s="29"/>
      <c r="BH1140" s="29"/>
      <c r="BI1140" s="29"/>
      <c r="BJ1140" s="29"/>
      <c r="BK1140" s="29"/>
      <c r="BL1140" s="29"/>
      <c r="BM1140" s="29"/>
      <c r="BN1140" s="29"/>
      <c r="BO1140" s="29"/>
      <c r="BP1140" s="29"/>
      <c r="BQ1140" s="29"/>
      <c r="BR1140" s="29"/>
      <c r="BS1140" s="29"/>
      <c r="BT1140" s="29"/>
      <c r="BU1140" s="29"/>
    </row>
    <row r="1141" spans="34:73" x14ac:dyDescent="0.25">
      <c r="AH1141" s="29"/>
      <c r="AI1141" s="29"/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X1141" s="29"/>
      <c r="AY1141" s="29"/>
      <c r="AZ1141" s="29"/>
      <c r="BA1141" s="29"/>
      <c r="BB1141" s="29"/>
      <c r="BC1141" s="29"/>
      <c r="BD1141" s="29"/>
      <c r="BE1141" s="29"/>
      <c r="BF1141" s="29"/>
      <c r="BG1141" s="29"/>
      <c r="BH1141" s="29"/>
      <c r="BI1141" s="29"/>
      <c r="BJ1141" s="29"/>
      <c r="BK1141" s="29"/>
      <c r="BL1141" s="29"/>
      <c r="BM1141" s="29"/>
      <c r="BN1141" s="29"/>
      <c r="BO1141" s="29"/>
      <c r="BP1141" s="29"/>
      <c r="BQ1141" s="29"/>
      <c r="BR1141" s="29"/>
      <c r="BS1141" s="29"/>
      <c r="BT1141" s="29"/>
      <c r="BU1141" s="29"/>
    </row>
    <row r="1142" spans="34:73" x14ac:dyDescent="0.25"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  <c r="AY1142" s="29"/>
      <c r="AZ1142" s="29"/>
      <c r="BA1142" s="29"/>
      <c r="BB1142" s="29"/>
      <c r="BC1142" s="29"/>
      <c r="BD1142" s="29"/>
      <c r="BE1142" s="29"/>
      <c r="BF1142" s="29"/>
      <c r="BG1142" s="29"/>
      <c r="BH1142" s="29"/>
      <c r="BI1142" s="29"/>
      <c r="BJ1142" s="29"/>
      <c r="BK1142" s="29"/>
      <c r="BL1142" s="29"/>
      <c r="BM1142" s="29"/>
      <c r="BN1142" s="29"/>
      <c r="BO1142" s="29"/>
      <c r="BP1142" s="29"/>
      <c r="BQ1142" s="29"/>
      <c r="BR1142" s="29"/>
      <c r="BS1142" s="29"/>
      <c r="BT1142" s="29"/>
      <c r="BU1142" s="29"/>
    </row>
    <row r="1143" spans="34:73" x14ac:dyDescent="0.25">
      <c r="AH1143" s="29"/>
      <c r="AI1143" s="29"/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X1143" s="29"/>
      <c r="AY1143" s="29"/>
      <c r="AZ1143" s="29"/>
      <c r="BA1143" s="29"/>
      <c r="BB1143" s="29"/>
      <c r="BC1143" s="29"/>
      <c r="BD1143" s="29"/>
      <c r="BE1143" s="29"/>
      <c r="BF1143" s="29"/>
      <c r="BG1143" s="29"/>
      <c r="BH1143" s="29"/>
      <c r="BI1143" s="29"/>
      <c r="BJ1143" s="29"/>
      <c r="BK1143" s="29"/>
      <c r="BL1143" s="29"/>
      <c r="BM1143" s="29"/>
      <c r="BN1143" s="29"/>
      <c r="BO1143" s="29"/>
      <c r="BP1143" s="29"/>
      <c r="BQ1143" s="29"/>
      <c r="BR1143" s="29"/>
      <c r="BS1143" s="29"/>
      <c r="BT1143" s="29"/>
      <c r="BU1143" s="29"/>
    </row>
    <row r="1144" spans="34:73" x14ac:dyDescent="0.25"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X1144" s="29"/>
      <c r="AY1144" s="29"/>
      <c r="AZ1144" s="29"/>
      <c r="BA1144" s="29"/>
      <c r="BB1144" s="29"/>
      <c r="BC1144" s="29"/>
      <c r="BD1144" s="29"/>
      <c r="BE1144" s="29"/>
      <c r="BF1144" s="29"/>
      <c r="BG1144" s="29"/>
      <c r="BH1144" s="29"/>
      <c r="BI1144" s="29"/>
      <c r="BJ1144" s="29"/>
      <c r="BK1144" s="29"/>
      <c r="BL1144" s="29"/>
      <c r="BM1144" s="29"/>
      <c r="BN1144" s="29"/>
      <c r="BO1144" s="29"/>
      <c r="BP1144" s="29"/>
      <c r="BQ1144" s="29"/>
      <c r="BR1144" s="29"/>
      <c r="BS1144" s="29"/>
      <c r="BT1144" s="29"/>
      <c r="BU1144" s="29"/>
    </row>
    <row r="1145" spans="34:73" x14ac:dyDescent="0.25"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29"/>
      <c r="BD1145" s="29"/>
      <c r="BE1145" s="29"/>
      <c r="BF1145" s="29"/>
      <c r="BG1145" s="29"/>
      <c r="BH1145" s="29"/>
      <c r="BI1145" s="29"/>
      <c r="BJ1145" s="29"/>
      <c r="BK1145" s="29"/>
      <c r="BL1145" s="29"/>
      <c r="BM1145" s="29"/>
      <c r="BN1145" s="29"/>
      <c r="BO1145" s="29"/>
      <c r="BP1145" s="29"/>
      <c r="BQ1145" s="29"/>
      <c r="BR1145" s="29"/>
      <c r="BS1145" s="29"/>
      <c r="BT1145" s="29"/>
      <c r="BU1145" s="29"/>
    </row>
    <row r="1146" spans="34:73" x14ac:dyDescent="0.25"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X1146" s="29"/>
      <c r="AY1146" s="29"/>
      <c r="AZ1146" s="29"/>
      <c r="BA1146" s="29"/>
      <c r="BB1146" s="29"/>
      <c r="BC1146" s="29"/>
      <c r="BD1146" s="29"/>
      <c r="BE1146" s="29"/>
      <c r="BF1146" s="29"/>
      <c r="BG1146" s="29"/>
      <c r="BH1146" s="29"/>
      <c r="BI1146" s="29"/>
      <c r="BJ1146" s="29"/>
      <c r="BK1146" s="29"/>
      <c r="BL1146" s="29"/>
      <c r="BM1146" s="29"/>
      <c r="BN1146" s="29"/>
      <c r="BO1146" s="29"/>
      <c r="BP1146" s="29"/>
      <c r="BQ1146" s="29"/>
      <c r="BR1146" s="29"/>
      <c r="BS1146" s="29"/>
      <c r="BT1146" s="29"/>
      <c r="BU1146" s="29"/>
    </row>
    <row r="1147" spans="34:73" x14ac:dyDescent="0.25"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X1147" s="29"/>
      <c r="AY1147" s="29"/>
      <c r="AZ1147" s="29"/>
      <c r="BA1147" s="29"/>
      <c r="BB1147" s="29"/>
      <c r="BC1147" s="29"/>
      <c r="BD1147" s="29"/>
      <c r="BE1147" s="29"/>
      <c r="BF1147" s="29"/>
      <c r="BG1147" s="29"/>
      <c r="BH1147" s="29"/>
      <c r="BI1147" s="29"/>
      <c r="BJ1147" s="29"/>
      <c r="BK1147" s="29"/>
      <c r="BL1147" s="29"/>
      <c r="BM1147" s="29"/>
      <c r="BN1147" s="29"/>
      <c r="BO1147" s="29"/>
      <c r="BP1147" s="29"/>
      <c r="BQ1147" s="29"/>
      <c r="BR1147" s="29"/>
      <c r="BS1147" s="29"/>
      <c r="BT1147" s="29"/>
      <c r="BU1147" s="29"/>
    </row>
    <row r="1148" spans="34:73" x14ac:dyDescent="0.25"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X1148" s="29"/>
      <c r="AY1148" s="29"/>
      <c r="AZ1148" s="29"/>
      <c r="BA1148" s="29"/>
      <c r="BB1148" s="29"/>
      <c r="BC1148" s="29"/>
      <c r="BD1148" s="29"/>
      <c r="BE1148" s="29"/>
      <c r="BF1148" s="29"/>
      <c r="BG1148" s="29"/>
      <c r="BH1148" s="29"/>
      <c r="BI1148" s="29"/>
      <c r="BJ1148" s="29"/>
      <c r="BK1148" s="29"/>
      <c r="BL1148" s="29"/>
      <c r="BM1148" s="29"/>
      <c r="BN1148" s="29"/>
      <c r="BO1148" s="29"/>
      <c r="BP1148" s="29"/>
      <c r="BQ1148" s="29"/>
      <c r="BR1148" s="29"/>
      <c r="BS1148" s="29"/>
      <c r="BT1148" s="29"/>
      <c r="BU1148" s="29"/>
    </row>
    <row r="1149" spans="34:73" x14ac:dyDescent="0.25">
      <c r="AH1149" s="29"/>
      <c r="AI1149" s="29"/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  <c r="AT1149" s="29"/>
      <c r="AU1149" s="29"/>
      <c r="AV1149" s="29"/>
      <c r="AW1149" s="29"/>
      <c r="AX1149" s="29"/>
      <c r="AY1149" s="29"/>
      <c r="AZ1149" s="29"/>
      <c r="BA1149" s="29"/>
      <c r="BB1149" s="29"/>
      <c r="BC1149" s="29"/>
      <c r="BD1149" s="29"/>
      <c r="BE1149" s="29"/>
      <c r="BF1149" s="29"/>
      <c r="BG1149" s="29"/>
      <c r="BH1149" s="29"/>
      <c r="BI1149" s="29"/>
      <c r="BJ1149" s="29"/>
      <c r="BK1149" s="29"/>
      <c r="BL1149" s="29"/>
      <c r="BM1149" s="29"/>
      <c r="BN1149" s="29"/>
      <c r="BO1149" s="29"/>
      <c r="BP1149" s="29"/>
      <c r="BQ1149" s="29"/>
      <c r="BR1149" s="29"/>
      <c r="BS1149" s="29"/>
      <c r="BT1149" s="29"/>
      <c r="BU1149" s="29"/>
    </row>
    <row r="1150" spans="34:73" x14ac:dyDescent="0.25"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X1150" s="29"/>
      <c r="AY1150" s="29"/>
      <c r="AZ1150" s="29"/>
      <c r="BA1150" s="29"/>
      <c r="BB1150" s="29"/>
      <c r="BC1150" s="29"/>
      <c r="BD1150" s="29"/>
      <c r="BE1150" s="29"/>
      <c r="BF1150" s="29"/>
      <c r="BG1150" s="29"/>
      <c r="BH1150" s="29"/>
      <c r="BI1150" s="29"/>
      <c r="BJ1150" s="29"/>
      <c r="BK1150" s="29"/>
      <c r="BL1150" s="29"/>
      <c r="BM1150" s="29"/>
      <c r="BN1150" s="29"/>
      <c r="BO1150" s="29"/>
      <c r="BP1150" s="29"/>
      <c r="BQ1150" s="29"/>
      <c r="BR1150" s="29"/>
      <c r="BS1150" s="29"/>
      <c r="BT1150" s="29"/>
      <c r="BU1150" s="29"/>
    </row>
    <row r="1151" spans="34:73" x14ac:dyDescent="0.25"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  <c r="AY1151" s="29"/>
      <c r="AZ1151" s="29"/>
      <c r="BA1151" s="29"/>
      <c r="BB1151" s="29"/>
      <c r="BC1151" s="29"/>
      <c r="BD1151" s="29"/>
      <c r="BE1151" s="29"/>
      <c r="BF1151" s="29"/>
      <c r="BG1151" s="29"/>
      <c r="BH1151" s="29"/>
      <c r="BI1151" s="29"/>
      <c r="BJ1151" s="29"/>
      <c r="BK1151" s="29"/>
      <c r="BL1151" s="29"/>
      <c r="BM1151" s="29"/>
      <c r="BN1151" s="29"/>
      <c r="BO1151" s="29"/>
      <c r="BP1151" s="29"/>
      <c r="BQ1151" s="29"/>
      <c r="BR1151" s="29"/>
      <c r="BS1151" s="29"/>
      <c r="BT1151" s="29"/>
      <c r="BU1151" s="29"/>
    </row>
    <row r="1152" spans="34:73" x14ac:dyDescent="0.25"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  <c r="AY1152" s="29"/>
      <c r="AZ1152" s="29"/>
      <c r="BA1152" s="29"/>
      <c r="BB1152" s="29"/>
      <c r="BC1152" s="29"/>
      <c r="BD1152" s="29"/>
      <c r="BE1152" s="29"/>
      <c r="BF1152" s="29"/>
      <c r="BG1152" s="29"/>
      <c r="BH1152" s="29"/>
      <c r="BI1152" s="29"/>
      <c r="BJ1152" s="29"/>
      <c r="BK1152" s="29"/>
      <c r="BL1152" s="29"/>
      <c r="BM1152" s="29"/>
      <c r="BN1152" s="29"/>
      <c r="BO1152" s="29"/>
      <c r="BP1152" s="29"/>
      <c r="BQ1152" s="29"/>
      <c r="BR1152" s="29"/>
      <c r="BS1152" s="29"/>
      <c r="BT1152" s="29"/>
      <c r="BU1152" s="29"/>
    </row>
    <row r="1153" spans="34:73" x14ac:dyDescent="0.25"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X1153" s="29"/>
      <c r="AY1153" s="29"/>
      <c r="AZ1153" s="29"/>
      <c r="BA1153" s="29"/>
      <c r="BB1153" s="29"/>
      <c r="BC1153" s="29"/>
      <c r="BD1153" s="29"/>
      <c r="BE1153" s="29"/>
      <c r="BF1153" s="29"/>
      <c r="BG1153" s="29"/>
      <c r="BH1153" s="29"/>
      <c r="BI1153" s="29"/>
      <c r="BJ1153" s="29"/>
      <c r="BK1153" s="29"/>
      <c r="BL1153" s="29"/>
      <c r="BM1153" s="29"/>
      <c r="BN1153" s="29"/>
      <c r="BO1153" s="29"/>
      <c r="BP1153" s="29"/>
      <c r="BQ1153" s="29"/>
      <c r="BR1153" s="29"/>
      <c r="BS1153" s="29"/>
      <c r="BT1153" s="29"/>
      <c r="BU1153" s="29"/>
    </row>
    <row r="1154" spans="34:73" x14ac:dyDescent="0.25"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  <c r="AZ1154" s="29"/>
      <c r="BA1154" s="29"/>
      <c r="BB1154" s="29"/>
      <c r="BC1154" s="29"/>
      <c r="BD1154" s="29"/>
      <c r="BE1154" s="29"/>
      <c r="BF1154" s="29"/>
      <c r="BG1154" s="29"/>
      <c r="BH1154" s="29"/>
      <c r="BI1154" s="29"/>
      <c r="BJ1154" s="29"/>
      <c r="BK1154" s="29"/>
      <c r="BL1154" s="29"/>
      <c r="BM1154" s="29"/>
      <c r="BN1154" s="29"/>
      <c r="BO1154" s="29"/>
      <c r="BP1154" s="29"/>
      <c r="BQ1154" s="29"/>
      <c r="BR1154" s="29"/>
      <c r="BS1154" s="29"/>
      <c r="BT1154" s="29"/>
      <c r="BU1154" s="29"/>
    </row>
    <row r="1155" spans="34:73" x14ac:dyDescent="0.25"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  <c r="AZ1155" s="29"/>
      <c r="BA1155" s="29"/>
      <c r="BB1155" s="29"/>
      <c r="BC1155" s="29"/>
      <c r="BD1155" s="29"/>
      <c r="BE1155" s="29"/>
      <c r="BF1155" s="29"/>
      <c r="BG1155" s="29"/>
      <c r="BH1155" s="29"/>
      <c r="BI1155" s="29"/>
      <c r="BJ1155" s="29"/>
      <c r="BK1155" s="29"/>
      <c r="BL1155" s="29"/>
      <c r="BM1155" s="29"/>
      <c r="BN1155" s="29"/>
      <c r="BO1155" s="29"/>
      <c r="BP1155" s="29"/>
      <c r="BQ1155" s="29"/>
      <c r="BR1155" s="29"/>
      <c r="BS1155" s="29"/>
      <c r="BT1155" s="29"/>
      <c r="BU1155" s="29"/>
    </row>
    <row r="1156" spans="34:73" x14ac:dyDescent="0.25"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  <c r="AZ1156" s="29"/>
      <c r="BA1156" s="29"/>
      <c r="BB1156" s="29"/>
      <c r="BC1156" s="29"/>
      <c r="BD1156" s="29"/>
      <c r="BE1156" s="29"/>
      <c r="BF1156" s="29"/>
      <c r="BG1156" s="29"/>
      <c r="BH1156" s="29"/>
      <c r="BI1156" s="29"/>
      <c r="BJ1156" s="29"/>
      <c r="BK1156" s="29"/>
      <c r="BL1156" s="29"/>
      <c r="BM1156" s="29"/>
      <c r="BN1156" s="29"/>
      <c r="BO1156" s="29"/>
      <c r="BP1156" s="29"/>
      <c r="BQ1156" s="29"/>
      <c r="BR1156" s="29"/>
      <c r="BS1156" s="29"/>
      <c r="BT1156" s="29"/>
      <c r="BU1156" s="29"/>
    </row>
    <row r="1157" spans="34:73" x14ac:dyDescent="0.25"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  <c r="AY1157" s="29"/>
      <c r="AZ1157" s="29"/>
      <c r="BA1157" s="29"/>
      <c r="BB1157" s="29"/>
      <c r="BC1157" s="29"/>
      <c r="BD1157" s="29"/>
      <c r="BE1157" s="29"/>
      <c r="BF1157" s="29"/>
      <c r="BG1157" s="29"/>
      <c r="BH1157" s="29"/>
      <c r="BI1157" s="29"/>
      <c r="BJ1157" s="29"/>
      <c r="BK1157" s="29"/>
      <c r="BL1157" s="29"/>
      <c r="BM1157" s="29"/>
      <c r="BN1157" s="29"/>
      <c r="BO1157" s="29"/>
      <c r="BP1157" s="29"/>
      <c r="BQ1157" s="29"/>
      <c r="BR1157" s="29"/>
      <c r="BS1157" s="29"/>
      <c r="BT1157" s="29"/>
      <c r="BU1157" s="29"/>
    </row>
    <row r="1158" spans="34:73" x14ac:dyDescent="0.25"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  <c r="AY1158" s="29"/>
      <c r="AZ1158" s="29"/>
      <c r="BA1158" s="29"/>
      <c r="BB1158" s="29"/>
      <c r="BC1158" s="29"/>
      <c r="BD1158" s="29"/>
      <c r="BE1158" s="29"/>
      <c r="BF1158" s="29"/>
      <c r="BG1158" s="29"/>
      <c r="BH1158" s="29"/>
      <c r="BI1158" s="29"/>
      <c r="BJ1158" s="29"/>
      <c r="BK1158" s="29"/>
      <c r="BL1158" s="29"/>
      <c r="BM1158" s="29"/>
      <c r="BN1158" s="29"/>
      <c r="BO1158" s="29"/>
      <c r="BP1158" s="29"/>
      <c r="BQ1158" s="29"/>
      <c r="BR1158" s="29"/>
      <c r="BS1158" s="29"/>
      <c r="BT1158" s="29"/>
      <c r="BU1158" s="29"/>
    </row>
    <row r="1159" spans="34:73" x14ac:dyDescent="0.25"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X1159" s="29"/>
      <c r="AY1159" s="29"/>
      <c r="AZ1159" s="29"/>
      <c r="BA1159" s="29"/>
      <c r="BB1159" s="29"/>
      <c r="BC1159" s="29"/>
      <c r="BD1159" s="29"/>
      <c r="BE1159" s="29"/>
      <c r="BF1159" s="29"/>
      <c r="BG1159" s="29"/>
      <c r="BH1159" s="29"/>
      <c r="BI1159" s="29"/>
      <c r="BJ1159" s="29"/>
      <c r="BK1159" s="29"/>
      <c r="BL1159" s="29"/>
      <c r="BM1159" s="29"/>
      <c r="BN1159" s="29"/>
      <c r="BO1159" s="29"/>
      <c r="BP1159" s="29"/>
      <c r="BQ1159" s="29"/>
      <c r="BR1159" s="29"/>
      <c r="BS1159" s="29"/>
      <c r="BT1159" s="29"/>
      <c r="BU1159" s="29"/>
    </row>
    <row r="1160" spans="34:73" x14ac:dyDescent="0.25">
      <c r="AH1160" s="29"/>
      <c r="AI1160" s="29"/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  <c r="AT1160" s="29"/>
      <c r="AU1160" s="29"/>
      <c r="AV1160" s="29"/>
      <c r="AW1160" s="29"/>
      <c r="AX1160" s="29"/>
      <c r="AY1160" s="29"/>
      <c r="AZ1160" s="29"/>
      <c r="BA1160" s="29"/>
      <c r="BB1160" s="29"/>
      <c r="BC1160" s="29"/>
      <c r="BD1160" s="29"/>
      <c r="BE1160" s="29"/>
      <c r="BF1160" s="29"/>
      <c r="BG1160" s="29"/>
      <c r="BH1160" s="29"/>
      <c r="BI1160" s="29"/>
      <c r="BJ1160" s="29"/>
      <c r="BK1160" s="29"/>
      <c r="BL1160" s="29"/>
      <c r="BM1160" s="29"/>
      <c r="BN1160" s="29"/>
      <c r="BO1160" s="29"/>
      <c r="BP1160" s="29"/>
      <c r="BQ1160" s="29"/>
      <c r="BR1160" s="29"/>
      <c r="BS1160" s="29"/>
      <c r="BT1160" s="29"/>
      <c r="BU1160" s="29"/>
    </row>
    <row r="1161" spans="34:73" x14ac:dyDescent="0.25">
      <c r="AH1161" s="29"/>
      <c r="AI1161" s="29"/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  <c r="AT1161" s="29"/>
      <c r="AU1161" s="29"/>
      <c r="AV1161" s="29"/>
      <c r="AW1161" s="29"/>
      <c r="AX1161" s="29"/>
      <c r="AY1161" s="29"/>
      <c r="AZ1161" s="29"/>
      <c r="BA1161" s="29"/>
      <c r="BB1161" s="29"/>
      <c r="BC1161" s="29"/>
      <c r="BD1161" s="29"/>
      <c r="BE1161" s="29"/>
      <c r="BF1161" s="29"/>
      <c r="BG1161" s="29"/>
      <c r="BH1161" s="29"/>
      <c r="BI1161" s="29"/>
      <c r="BJ1161" s="29"/>
      <c r="BK1161" s="29"/>
      <c r="BL1161" s="29"/>
      <c r="BM1161" s="29"/>
      <c r="BN1161" s="29"/>
      <c r="BO1161" s="29"/>
      <c r="BP1161" s="29"/>
      <c r="BQ1161" s="29"/>
      <c r="BR1161" s="29"/>
      <c r="BS1161" s="29"/>
      <c r="BT1161" s="29"/>
      <c r="BU1161" s="29"/>
    </row>
    <row r="1162" spans="34:73" x14ac:dyDescent="0.25"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29"/>
      <c r="AW1162" s="29"/>
      <c r="AX1162" s="29"/>
      <c r="AY1162" s="29"/>
      <c r="AZ1162" s="29"/>
      <c r="BA1162" s="29"/>
      <c r="BB1162" s="29"/>
      <c r="BC1162" s="29"/>
      <c r="BD1162" s="29"/>
      <c r="BE1162" s="29"/>
      <c r="BF1162" s="29"/>
      <c r="BG1162" s="29"/>
      <c r="BH1162" s="29"/>
      <c r="BI1162" s="29"/>
      <c r="BJ1162" s="29"/>
      <c r="BK1162" s="29"/>
      <c r="BL1162" s="29"/>
      <c r="BM1162" s="29"/>
      <c r="BN1162" s="29"/>
      <c r="BO1162" s="29"/>
      <c r="BP1162" s="29"/>
      <c r="BQ1162" s="29"/>
      <c r="BR1162" s="29"/>
      <c r="BS1162" s="29"/>
      <c r="BT1162" s="29"/>
      <c r="BU1162" s="29"/>
    </row>
    <row r="1163" spans="34:73" x14ac:dyDescent="0.25"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  <c r="AT1163" s="29"/>
      <c r="AU1163" s="29"/>
      <c r="AV1163" s="29"/>
      <c r="AW1163" s="29"/>
      <c r="AX1163" s="29"/>
      <c r="AY1163" s="29"/>
      <c r="AZ1163" s="29"/>
      <c r="BA1163" s="29"/>
      <c r="BB1163" s="29"/>
      <c r="BC1163" s="29"/>
      <c r="BD1163" s="29"/>
      <c r="BE1163" s="29"/>
      <c r="BF1163" s="29"/>
      <c r="BG1163" s="29"/>
      <c r="BH1163" s="29"/>
      <c r="BI1163" s="29"/>
      <c r="BJ1163" s="29"/>
      <c r="BK1163" s="29"/>
      <c r="BL1163" s="29"/>
      <c r="BM1163" s="29"/>
      <c r="BN1163" s="29"/>
      <c r="BO1163" s="29"/>
      <c r="BP1163" s="29"/>
      <c r="BQ1163" s="29"/>
      <c r="BR1163" s="29"/>
      <c r="BS1163" s="29"/>
      <c r="BT1163" s="29"/>
      <c r="BU1163" s="29"/>
    </row>
    <row r="1164" spans="34:73" x14ac:dyDescent="0.25"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/>
      <c r="AV1164" s="29"/>
      <c r="AW1164" s="29"/>
      <c r="AX1164" s="29"/>
      <c r="AY1164" s="29"/>
      <c r="AZ1164" s="29"/>
      <c r="BA1164" s="29"/>
      <c r="BB1164" s="29"/>
      <c r="BC1164" s="29"/>
      <c r="BD1164" s="29"/>
      <c r="BE1164" s="29"/>
      <c r="BF1164" s="29"/>
      <c r="BG1164" s="29"/>
      <c r="BH1164" s="29"/>
      <c r="BI1164" s="29"/>
      <c r="BJ1164" s="29"/>
      <c r="BK1164" s="29"/>
      <c r="BL1164" s="29"/>
      <c r="BM1164" s="29"/>
      <c r="BN1164" s="29"/>
      <c r="BO1164" s="29"/>
      <c r="BP1164" s="29"/>
      <c r="BQ1164" s="29"/>
      <c r="BR1164" s="29"/>
      <c r="BS1164" s="29"/>
      <c r="BT1164" s="29"/>
      <c r="BU1164" s="29"/>
    </row>
    <row r="1165" spans="34:73" x14ac:dyDescent="0.25"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  <c r="AY1165" s="29"/>
      <c r="AZ1165" s="29"/>
      <c r="BA1165" s="29"/>
      <c r="BB1165" s="29"/>
      <c r="BC1165" s="29"/>
      <c r="BD1165" s="29"/>
      <c r="BE1165" s="29"/>
      <c r="BF1165" s="29"/>
      <c r="BG1165" s="29"/>
      <c r="BH1165" s="29"/>
      <c r="BI1165" s="29"/>
      <c r="BJ1165" s="29"/>
      <c r="BK1165" s="29"/>
      <c r="BL1165" s="29"/>
      <c r="BM1165" s="29"/>
      <c r="BN1165" s="29"/>
      <c r="BO1165" s="29"/>
      <c r="BP1165" s="29"/>
      <c r="BQ1165" s="29"/>
      <c r="BR1165" s="29"/>
      <c r="BS1165" s="29"/>
      <c r="BT1165" s="29"/>
      <c r="BU1165" s="29"/>
    </row>
    <row r="1166" spans="34:73" x14ac:dyDescent="0.25">
      <c r="AH1166" s="29"/>
      <c r="AI1166" s="29"/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  <c r="AT1166" s="29"/>
      <c r="AU1166" s="29"/>
      <c r="AV1166" s="29"/>
      <c r="AW1166" s="29"/>
      <c r="AX1166" s="29"/>
      <c r="AY1166" s="29"/>
      <c r="AZ1166" s="29"/>
      <c r="BA1166" s="29"/>
      <c r="BB1166" s="29"/>
      <c r="BC1166" s="29"/>
      <c r="BD1166" s="29"/>
      <c r="BE1166" s="29"/>
      <c r="BF1166" s="29"/>
      <c r="BG1166" s="29"/>
      <c r="BH1166" s="29"/>
      <c r="BI1166" s="29"/>
      <c r="BJ1166" s="29"/>
      <c r="BK1166" s="29"/>
      <c r="BL1166" s="29"/>
      <c r="BM1166" s="29"/>
      <c r="BN1166" s="29"/>
      <c r="BO1166" s="29"/>
      <c r="BP1166" s="29"/>
      <c r="BQ1166" s="29"/>
      <c r="BR1166" s="29"/>
      <c r="BS1166" s="29"/>
      <c r="BT1166" s="29"/>
      <c r="BU1166" s="29"/>
    </row>
    <row r="1167" spans="34:73" x14ac:dyDescent="0.25"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  <c r="AT1167" s="29"/>
      <c r="AU1167" s="29"/>
      <c r="AV1167" s="29"/>
      <c r="AW1167" s="29"/>
      <c r="AX1167" s="29"/>
      <c r="AY1167" s="29"/>
      <c r="AZ1167" s="29"/>
      <c r="BA1167" s="29"/>
      <c r="BB1167" s="29"/>
      <c r="BC1167" s="29"/>
      <c r="BD1167" s="29"/>
      <c r="BE1167" s="29"/>
      <c r="BF1167" s="29"/>
      <c r="BG1167" s="29"/>
      <c r="BH1167" s="29"/>
      <c r="BI1167" s="29"/>
      <c r="BJ1167" s="29"/>
      <c r="BK1167" s="29"/>
      <c r="BL1167" s="29"/>
      <c r="BM1167" s="29"/>
      <c r="BN1167" s="29"/>
      <c r="BO1167" s="29"/>
      <c r="BP1167" s="29"/>
      <c r="BQ1167" s="29"/>
      <c r="BR1167" s="29"/>
      <c r="BS1167" s="29"/>
      <c r="BT1167" s="29"/>
      <c r="BU1167" s="29"/>
    </row>
    <row r="1168" spans="34:73" x14ac:dyDescent="0.25"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X1168" s="29"/>
      <c r="AY1168" s="29"/>
      <c r="AZ1168" s="29"/>
      <c r="BA1168" s="29"/>
      <c r="BB1168" s="29"/>
      <c r="BC1168" s="29"/>
      <c r="BD1168" s="29"/>
      <c r="BE1168" s="29"/>
      <c r="BF1168" s="29"/>
      <c r="BG1168" s="29"/>
      <c r="BH1168" s="29"/>
      <c r="BI1168" s="29"/>
      <c r="BJ1168" s="29"/>
      <c r="BK1168" s="29"/>
      <c r="BL1168" s="29"/>
      <c r="BM1168" s="29"/>
      <c r="BN1168" s="29"/>
      <c r="BO1168" s="29"/>
      <c r="BP1168" s="29"/>
      <c r="BQ1168" s="29"/>
      <c r="BR1168" s="29"/>
      <c r="BS1168" s="29"/>
      <c r="BT1168" s="29"/>
      <c r="BU1168" s="29"/>
    </row>
    <row r="1169" spans="34:73" x14ac:dyDescent="0.25"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X1169" s="29"/>
      <c r="AY1169" s="29"/>
      <c r="AZ1169" s="29"/>
      <c r="BA1169" s="29"/>
      <c r="BB1169" s="29"/>
      <c r="BC1169" s="29"/>
      <c r="BD1169" s="29"/>
      <c r="BE1169" s="29"/>
      <c r="BF1169" s="29"/>
      <c r="BG1169" s="29"/>
      <c r="BH1169" s="29"/>
      <c r="BI1169" s="29"/>
      <c r="BJ1169" s="29"/>
      <c r="BK1169" s="29"/>
      <c r="BL1169" s="29"/>
      <c r="BM1169" s="29"/>
      <c r="BN1169" s="29"/>
      <c r="BO1169" s="29"/>
      <c r="BP1169" s="29"/>
      <c r="BQ1169" s="29"/>
      <c r="BR1169" s="29"/>
      <c r="BS1169" s="29"/>
      <c r="BT1169" s="29"/>
      <c r="BU1169" s="29"/>
    </row>
    <row r="1170" spans="34:73" x14ac:dyDescent="0.25"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X1170" s="29"/>
      <c r="AY1170" s="29"/>
      <c r="AZ1170" s="29"/>
      <c r="BA1170" s="29"/>
      <c r="BB1170" s="29"/>
      <c r="BC1170" s="29"/>
      <c r="BD1170" s="29"/>
      <c r="BE1170" s="29"/>
      <c r="BF1170" s="29"/>
      <c r="BG1170" s="29"/>
      <c r="BH1170" s="29"/>
      <c r="BI1170" s="29"/>
      <c r="BJ1170" s="29"/>
      <c r="BK1170" s="29"/>
      <c r="BL1170" s="29"/>
      <c r="BM1170" s="29"/>
      <c r="BN1170" s="29"/>
      <c r="BO1170" s="29"/>
      <c r="BP1170" s="29"/>
      <c r="BQ1170" s="29"/>
      <c r="BR1170" s="29"/>
      <c r="BS1170" s="29"/>
      <c r="BT1170" s="29"/>
      <c r="BU1170" s="29"/>
    </row>
    <row r="1171" spans="34:73" x14ac:dyDescent="0.25"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X1171" s="29"/>
      <c r="AY1171" s="29"/>
      <c r="AZ1171" s="29"/>
      <c r="BA1171" s="29"/>
      <c r="BB1171" s="29"/>
      <c r="BC1171" s="29"/>
      <c r="BD1171" s="29"/>
      <c r="BE1171" s="29"/>
      <c r="BF1171" s="29"/>
      <c r="BG1171" s="29"/>
      <c r="BH1171" s="29"/>
      <c r="BI1171" s="29"/>
      <c r="BJ1171" s="29"/>
      <c r="BK1171" s="29"/>
      <c r="BL1171" s="29"/>
      <c r="BM1171" s="29"/>
      <c r="BN1171" s="29"/>
      <c r="BO1171" s="29"/>
      <c r="BP1171" s="29"/>
      <c r="BQ1171" s="29"/>
      <c r="BR1171" s="29"/>
      <c r="BS1171" s="29"/>
      <c r="BT1171" s="29"/>
      <c r="BU1171" s="29"/>
    </row>
    <row r="1172" spans="34:73" x14ac:dyDescent="0.25"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  <c r="AY1172" s="29"/>
      <c r="AZ1172" s="29"/>
      <c r="BA1172" s="29"/>
      <c r="BB1172" s="29"/>
      <c r="BC1172" s="29"/>
      <c r="BD1172" s="29"/>
      <c r="BE1172" s="29"/>
      <c r="BF1172" s="29"/>
      <c r="BG1172" s="29"/>
      <c r="BH1172" s="29"/>
      <c r="BI1172" s="29"/>
      <c r="BJ1172" s="29"/>
      <c r="BK1172" s="29"/>
      <c r="BL1172" s="29"/>
      <c r="BM1172" s="29"/>
      <c r="BN1172" s="29"/>
      <c r="BO1172" s="29"/>
      <c r="BP1172" s="29"/>
      <c r="BQ1172" s="29"/>
      <c r="BR1172" s="29"/>
      <c r="BS1172" s="29"/>
      <c r="BT1172" s="29"/>
      <c r="BU1172" s="29"/>
    </row>
    <row r="1173" spans="34:73" x14ac:dyDescent="0.25"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X1173" s="29"/>
      <c r="AY1173" s="29"/>
      <c r="AZ1173" s="29"/>
      <c r="BA1173" s="29"/>
      <c r="BB1173" s="29"/>
      <c r="BC1173" s="29"/>
      <c r="BD1173" s="29"/>
      <c r="BE1173" s="29"/>
      <c r="BF1173" s="29"/>
      <c r="BG1173" s="29"/>
      <c r="BH1173" s="29"/>
      <c r="BI1173" s="29"/>
      <c r="BJ1173" s="29"/>
      <c r="BK1173" s="29"/>
      <c r="BL1173" s="29"/>
      <c r="BM1173" s="29"/>
      <c r="BN1173" s="29"/>
      <c r="BO1173" s="29"/>
      <c r="BP1173" s="29"/>
      <c r="BQ1173" s="29"/>
      <c r="BR1173" s="29"/>
      <c r="BS1173" s="29"/>
      <c r="BT1173" s="29"/>
      <c r="BU1173" s="29"/>
    </row>
    <row r="1174" spans="34:73" x14ac:dyDescent="0.25"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X1174" s="29"/>
      <c r="AY1174" s="29"/>
      <c r="AZ1174" s="29"/>
      <c r="BA1174" s="29"/>
      <c r="BB1174" s="29"/>
      <c r="BC1174" s="29"/>
      <c r="BD1174" s="29"/>
      <c r="BE1174" s="29"/>
      <c r="BF1174" s="29"/>
      <c r="BG1174" s="29"/>
      <c r="BH1174" s="29"/>
      <c r="BI1174" s="29"/>
      <c r="BJ1174" s="29"/>
      <c r="BK1174" s="29"/>
      <c r="BL1174" s="29"/>
      <c r="BM1174" s="29"/>
      <c r="BN1174" s="29"/>
      <c r="BO1174" s="29"/>
      <c r="BP1174" s="29"/>
      <c r="BQ1174" s="29"/>
      <c r="BR1174" s="29"/>
      <c r="BS1174" s="29"/>
      <c r="BT1174" s="29"/>
      <c r="BU1174" s="29"/>
    </row>
    <row r="1175" spans="34:73" x14ac:dyDescent="0.25"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  <c r="AY1175" s="29"/>
      <c r="AZ1175" s="29"/>
      <c r="BA1175" s="29"/>
      <c r="BB1175" s="29"/>
      <c r="BC1175" s="29"/>
      <c r="BD1175" s="29"/>
      <c r="BE1175" s="29"/>
      <c r="BF1175" s="29"/>
      <c r="BG1175" s="29"/>
      <c r="BH1175" s="29"/>
      <c r="BI1175" s="29"/>
      <c r="BJ1175" s="29"/>
      <c r="BK1175" s="29"/>
      <c r="BL1175" s="29"/>
      <c r="BM1175" s="29"/>
      <c r="BN1175" s="29"/>
      <c r="BO1175" s="29"/>
      <c r="BP1175" s="29"/>
      <c r="BQ1175" s="29"/>
      <c r="BR1175" s="29"/>
      <c r="BS1175" s="29"/>
      <c r="BT1175" s="29"/>
      <c r="BU1175" s="29"/>
    </row>
    <row r="1176" spans="34:73" x14ac:dyDescent="0.25"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/>
      <c r="AV1176" s="29"/>
      <c r="AW1176" s="29"/>
      <c r="AX1176" s="29"/>
      <c r="AY1176" s="29"/>
      <c r="AZ1176" s="29"/>
      <c r="BA1176" s="29"/>
      <c r="BB1176" s="29"/>
      <c r="BC1176" s="29"/>
      <c r="BD1176" s="29"/>
      <c r="BE1176" s="29"/>
      <c r="BF1176" s="29"/>
      <c r="BG1176" s="29"/>
      <c r="BH1176" s="29"/>
      <c r="BI1176" s="29"/>
      <c r="BJ1176" s="29"/>
      <c r="BK1176" s="29"/>
      <c r="BL1176" s="29"/>
      <c r="BM1176" s="29"/>
      <c r="BN1176" s="29"/>
      <c r="BO1176" s="29"/>
      <c r="BP1176" s="29"/>
      <c r="BQ1176" s="29"/>
      <c r="BR1176" s="29"/>
      <c r="BS1176" s="29"/>
      <c r="BT1176" s="29"/>
      <c r="BU1176" s="29"/>
    </row>
    <row r="1177" spans="34:73" x14ac:dyDescent="0.25"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X1177" s="29"/>
      <c r="AY1177" s="29"/>
      <c r="AZ1177" s="29"/>
      <c r="BA1177" s="29"/>
      <c r="BB1177" s="29"/>
      <c r="BC1177" s="29"/>
      <c r="BD1177" s="29"/>
      <c r="BE1177" s="29"/>
      <c r="BF1177" s="29"/>
      <c r="BG1177" s="29"/>
      <c r="BH1177" s="29"/>
      <c r="BI1177" s="29"/>
      <c r="BJ1177" s="29"/>
      <c r="BK1177" s="29"/>
      <c r="BL1177" s="29"/>
      <c r="BM1177" s="29"/>
      <c r="BN1177" s="29"/>
      <c r="BO1177" s="29"/>
      <c r="BP1177" s="29"/>
      <c r="BQ1177" s="29"/>
      <c r="BR1177" s="29"/>
      <c r="BS1177" s="29"/>
      <c r="BT1177" s="29"/>
      <c r="BU1177" s="29"/>
    </row>
    <row r="1178" spans="34:73" x14ac:dyDescent="0.25"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29"/>
      <c r="AX1178" s="29"/>
      <c r="AY1178" s="29"/>
      <c r="AZ1178" s="29"/>
      <c r="BA1178" s="29"/>
      <c r="BB1178" s="29"/>
      <c r="BC1178" s="29"/>
      <c r="BD1178" s="29"/>
      <c r="BE1178" s="29"/>
      <c r="BF1178" s="29"/>
      <c r="BG1178" s="29"/>
      <c r="BH1178" s="29"/>
      <c r="BI1178" s="29"/>
      <c r="BJ1178" s="29"/>
      <c r="BK1178" s="29"/>
      <c r="BL1178" s="29"/>
      <c r="BM1178" s="29"/>
      <c r="BN1178" s="29"/>
      <c r="BO1178" s="29"/>
      <c r="BP1178" s="29"/>
      <c r="BQ1178" s="29"/>
      <c r="BR1178" s="29"/>
      <c r="BS1178" s="29"/>
      <c r="BT1178" s="29"/>
      <c r="BU1178" s="29"/>
    </row>
    <row r="1179" spans="34:73" x14ac:dyDescent="0.25"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/>
      <c r="AV1179" s="29"/>
      <c r="AW1179" s="29"/>
      <c r="AX1179" s="29"/>
      <c r="AY1179" s="29"/>
      <c r="AZ1179" s="29"/>
      <c r="BA1179" s="29"/>
      <c r="BB1179" s="29"/>
      <c r="BC1179" s="29"/>
      <c r="BD1179" s="29"/>
      <c r="BE1179" s="29"/>
      <c r="BF1179" s="29"/>
      <c r="BG1179" s="29"/>
      <c r="BH1179" s="29"/>
      <c r="BI1179" s="29"/>
      <c r="BJ1179" s="29"/>
      <c r="BK1179" s="29"/>
      <c r="BL1179" s="29"/>
      <c r="BM1179" s="29"/>
      <c r="BN1179" s="29"/>
      <c r="BO1179" s="29"/>
      <c r="BP1179" s="29"/>
      <c r="BQ1179" s="29"/>
      <c r="BR1179" s="29"/>
      <c r="BS1179" s="29"/>
      <c r="BT1179" s="29"/>
      <c r="BU1179" s="29"/>
    </row>
    <row r="1180" spans="34:73" x14ac:dyDescent="0.25"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29"/>
      <c r="AX1180" s="29"/>
      <c r="AY1180" s="29"/>
      <c r="AZ1180" s="29"/>
      <c r="BA1180" s="29"/>
      <c r="BB1180" s="29"/>
      <c r="BC1180" s="29"/>
      <c r="BD1180" s="29"/>
      <c r="BE1180" s="29"/>
      <c r="BF1180" s="29"/>
      <c r="BG1180" s="29"/>
      <c r="BH1180" s="29"/>
      <c r="BI1180" s="29"/>
      <c r="BJ1180" s="29"/>
      <c r="BK1180" s="29"/>
      <c r="BL1180" s="29"/>
      <c r="BM1180" s="29"/>
      <c r="BN1180" s="29"/>
      <c r="BO1180" s="29"/>
      <c r="BP1180" s="29"/>
      <c r="BQ1180" s="29"/>
      <c r="BR1180" s="29"/>
      <c r="BS1180" s="29"/>
      <c r="BT1180" s="29"/>
      <c r="BU1180" s="29"/>
    </row>
    <row r="1181" spans="34:73" x14ac:dyDescent="0.25">
      <c r="AH1181" s="29"/>
      <c r="AI1181" s="29"/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  <c r="AT1181" s="29"/>
      <c r="AU1181" s="29"/>
      <c r="AV1181" s="29"/>
      <c r="AW1181" s="29"/>
      <c r="AX1181" s="29"/>
      <c r="AY1181" s="29"/>
      <c r="AZ1181" s="29"/>
      <c r="BA1181" s="29"/>
      <c r="BB1181" s="29"/>
      <c r="BC1181" s="29"/>
      <c r="BD1181" s="29"/>
      <c r="BE1181" s="29"/>
      <c r="BF1181" s="29"/>
      <c r="BG1181" s="29"/>
      <c r="BH1181" s="29"/>
      <c r="BI1181" s="29"/>
      <c r="BJ1181" s="29"/>
      <c r="BK1181" s="29"/>
      <c r="BL1181" s="29"/>
      <c r="BM1181" s="29"/>
      <c r="BN1181" s="29"/>
      <c r="BO1181" s="29"/>
      <c r="BP1181" s="29"/>
      <c r="BQ1181" s="29"/>
      <c r="BR1181" s="29"/>
      <c r="BS1181" s="29"/>
      <c r="BT1181" s="29"/>
      <c r="BU1181" s="29"/>
    </row>
    <row r="1182" spans="34:73" x14ac:dyDescent="0.25"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  <c r="AY1182" s="29"/>
      <c r="AZ1182" s="29"/>
      <c r="BA1182" s="29"/>
      <c r="BB1182" s="29"/>
      <c r="BC1182" s="29"/>
      <c r="BD1182" s="29"/>
      <c r="BE1182" s="29"/>
      <c r="BF1182" s="29"/>
      <c r="BG1182" s="29"/>
      <c r="BH1182" s="29"/>
      <c r="BI1182" s="29"/>
      <c r="BJ1182" s="29"/>
      <c r="BK1182" s="29"/>
      <c r="BL1182" s="29"/>
      <c r="BM1182" s="29"/>
      <c r="BN1182" s="29"/>
      <c r="BO1182" s="29"/>
      <c r="BP1182" s="29"/>
      <c r="BQ1182" s="29"/>
      <c r="BR1182" s="29"/>
      <c r="BS1182" s="29"/>
      <c r="BT1182" s="29"/>
      <c r="BU1182" s="29"/>
    </row>
    <row r="1183" spans="34:73" x14ac:dyDescent="0.25"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X1183" s="29"/>
      <c r="AY1183" s="29"/>
      <c r="AZ1183" s="29"/>
      <c r="BA1183" s="29"/>
      <c r="BB1183" s="29"/>
      <c r="BC1183" s="29"/>
      <c r="BD1183" s="29"/>
      <c r="BE1183" s="29"/>
      <c r="BF1183" s="29"/>
      <c r="BG1183" s="29"/>
      <c r="BH1183" s="29"/>
      <c r="BI1183" s="29"/>
      <c r="BJ1183" s="29"/>
      <c r="BK1183" s="29"/>
      <c r="BL1183" s="29"/>
      <c r="BM1183" s="29"/>
      <c r="BN1183" s="29"/>
      <c r="BO1183" s="29"/>
      <c r="BP1183" s="29"/>
      <c r="BQ1183" s="29"/>
      <c r="BR1183" s="29"/>
      <c r="BS1183" s="29"/>
      <c r="BT1183" s="29"/>
      <c r="BU1183" s="29"/>
    </row>
    <row r="1184" spans="34:73" x14ac:dyDescent="0.25"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X1184" s="29"/>
      <c r="AY1184" s="29"/>
      <c r="AZ1184" s="29"/>
      <c r="BA1184" s="29"/>
      <c r="BB1184" s="29"/>
      <c r="BC1184" s="29"/>
      <c r="BD1184" s="29"/>
      <c r="BE1184" s="29"/>
      <c r="BF1184" s="29"/>
      <c r="BG1184" s="29"/>
      <c r="BH1184" s="29"/>
      <c r="BI1184" s="29"/>
      <c r="BJ1184" s="29"/>
      <c r="BK1184" s="29"/>
      <c r="BL1184" s="29"/>
      <c r="BM1184" s="29"/>
      <c r="BN1184" s="29"/>
      <c r="BO1184" s="29"/>
      <c r="BP1184" s="29"/>
      <c r="BQ1184" s="29"/>
      <c r="BR1184" s="29"/>
      <c r="BS1184" s="29"/>
      <c r="BT1184" s="29"/>
      <c r="BU1184" s="29"/>
    </row>
    <row r="1185" spans="34:73" x14ac:dyDescent="0.25"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X1185" s="29"/>
      <c r="AY1185" s="29"/>
      <c r="AZ1185" s="29"/>
      <c r="BA1185" s="29"/>
      <c r="BB1185" s="29"/>
      <c r="BC1185" s="29"/>
      <c r="BD1185" s="29"/>
      <c r="BE1185" s="29"/>
      <c r="BF1185" s="29"/>
      <c r="BG1185" s="29"/>
      <c r="BH1185" s="29"/>
      <c r="BI1185" s="29"/>
      <c r="BJ1185" s="29"/>
      <c r="BK1185" s="29"/>
      <c r="BL1185" s="29"/>
      <c r="BM1185" s="29"/>
      <c r="BN1185" s="29"/>
      <c r="BO1185" s="29"/>
      <c r="BP1185" s="29"/>
      <c r="BQ1185" s="29"/>
      <c r="BR1185" s="29"/>
      <c r="BS1185" s="29"/>
      <c r="BT1185" s="29"/>
      <c r="BU1185" s="29"/>
    </row>
    <row r="1186" spans="34:73" x14ac:dyDescent="0.25">
      <c r="AH1186" s="29"/>
      <c r="AI1186" s="29"/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  <c r="AT1186" s="29"/>
      <c r="AU1186" s="29"/>
      <c r="AV1186" s="29"/>
      <c r="AW1186" s="29"/>
      <c r="AX1186" s="29"/>
      <c r="AY1186" s="29"/>
      <c r="AZ1186" s="29"/>
      <c r="BA1186" s="29"/>
      <c r="BB1186" s="29"/>
      <c r="BC1186" s="29"/>
      <c r="BD1186" s="29"/>
      <c r="BE1186" s="29"/>
      <c r="BF1186" s="29"/>
      <c r="BG1186" s="29"/>
      <c r="BH1186" s="29"/>
      <c r="BI1186" s="29"/>
      <c r="BJ1186" s="29"/>
      <c r="BK1186" s="29"/>
      <c r="BL1186" s="29"/>
      <c r="BM1186" s="29"/>
      <c r="BN1186" s="29"/>
      <c r="BO1186" s="29"/>
      <c r="BP1186" s="29"/>
      <c r="BQ1186" s="29"/>
      <c r="BR1186" s="29"/>
      <c r="BS1186" s="29"/>
      <c r="BT1186" s="29"/>
      <c r="BU1186" s="29"/>
    </row>
    <row r="1187" spans="34:73" x14ac:dyDescent="0.25"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X1187" s="29"/>
      <c r="AY1187" s="29"/>
      <c r="AZ1187" s="29"/>
      <c r="BA1187" s="29"/>
      <c r="BB1187" s="29"/>
      <c r="BC1187" s="29"/>
      <c r="BD1187" s="29"/>
      <c r="BE1187" s="29"/>
      <c r="BF1187" s="29"/>
      <c r="BG1187" s="29"/>
      <c r="BH1187" s="29"/>
      <c r="BI1187" s="29"/>
      <c r="BJ1187" s="29"/>
      <c r="BK1187" s="29"/>
      <c r="BL1187" s="29"/>
      <c r="BM1187" s="29"/>
      <c r="BN1187" s="29"/>
      <c r="BO1187" s="29"/>
      <c r="BP1187" s="29"/>
      <c r="BQ1187" s="29"/>
      <c r="BR1187" s="29"/>
      <c r="BS1187" s="29"/>
      <c r="BT1187" s="29"/>
      <c r="BU1187" s="29"/>
    </row>
    <row r="1188" spans="34:73" x14ac:dyDescent="0.25"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X1188" s="29"/>
      <c r="AY1188" s="29"/>
      <c r="AZ1188" s="29"/>
      <c r="BA1188" s="29"/>
      <c r="BB1188" s="29"/>
      <c r="BC1188" s="29"/>
      <c r="BD1188" s="29"/>
      <c r="BE1188" s="29"/>
      <c r="BF1188" s="29"/>
      <c r="BG1188" s="29"/>
      <c r="BH1188" s="29"/>
      <c r="BI1188" s="29"/>
      <c r="BJ1188" s="29"/>
      <c r="BK1188" s="29"/>
      <c r="BL1188" s="29"/>
      <c r="BM1188" s="29"/>
      <c r="BN1188" s="29"/>
      <c r="BO1188" s="29"/>
      <c r="BP1188" s="29"/>
      <c r="BQ1188" s="29"/>
      <c r="BR1188" s="29"/>
      <c r="BS1188" s="29"/>
      <c r="BT1188" s="29"/>
      <c r="BU1188" s="29"/>
    </row>
    <row r="1189" spans="34:73" x14ac:dyDescent="0.25">
      <c r="AH1189" s="29"/>
      <c r="AI1189" s="29"/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  <c r="AT1189" s="29"/>
      <c r="AU1189" s="29"/>
      <c r="AV1189" s="29"/>
      <c r="AW1189" s="29"/>
      <c r="AX1189" s="29"/>
      <c r="AY1189" s="29"/>
      <c r="AZ1189" s="29"/>
      <c r="BA1189" s="29"/>
      <c r="BB1189" s="29"/>
      <c r="BC1189" s="29"/>
      <c r="BD1189" s="29"/>
      <c r="BE1189" s="29"/>
      <c r="BF1189" s="29"/>
      <c r="BG1189" s="29"/>
      <c r="BH1189" s="29"/>
      <c r="BI1189" s="29"/>
      <c r="BJ1189" s="29"/>
      <c r="BK1189" s="29"/>
      <c r="BL1189" s="29"/>
      <c r="BM1189" s="29"/>
      <c r="BN1189" s="29"/>
      <c r="BO1189" s="29"/>
      <c r="BP1189" s="29"/>
      <c r="BQ1189" s="29"/>
      <c r="BR1189" s="29"/>
      <c r="BS1189" s="29"/>
      <c r="BT1189" s="29"/>
      <c r="BU1189" s="29"/>
    </row>
    <row r="1190" spans="34:73" x14ac:dyDescent="0.25">
      <c r="AH1190" s="29"/>
      <c r="AI1190" s="29"/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  <c r="AT1190" s="29"/>
      <c r="AU1190" s="29"/>
      <c r="AV1190" s="29"/>
      <c r="AW1190" s="29"/>
      <c r="AX1190" s="29"/>
      <c r="AY1190" s="29"/>
      <c r="AZ1190" s="29"/>
      <c r="BA1190" s="29"/>
      <c r="BB1190" s="29"/>
      <c r="BC1190" s="29"/>
      <c r="BD1190" s="29"/>
      <c r="BE1190" s="29"/>
      <c r="BF1190" s="29"/>
      <c r="BG1190" s="29"/>
      <c r="BH1190" s="29"/>
      <c r="BI1190" s="29"/>
      <c r="BJ1190" s="29"/>
      <c r="BK1190" s="29"/>
      <c r="BL1190" s="29"/>
      <c r="BM1190" s="29"/>
      <c r="BN1190" s="29"/>
      <c r="BO1190" s="29"/>
      <c r="BP1190" s="29"/>
      <c r="BQ1190" s="29"/>
      <c r="BR1190" s="29"/>
      <c r="BS1190" s="29"/>
      <c r="BT1190" s="29"/>
      <c r="BU1190" s="29"/>
    </row>
    <row r="1191" spans="34:73" x14ac:dyDescent="0.25">
      <c r="AH1191" s="29"/>
      <c r="AI1191" s="29"/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  <c r="AT1191" s="29"/>
      <c r="AU1191" s="29"/>
      <c r="AV1191" s="29"/>
      <c r="AW1191" s="29"/>
      <c r="AX1191" s="29"/>
      <c r="AY1191" s="29"/>
      <c r="AZ1191" s="29"/>
      <c r="BA1191" s="29"/>
      <c r="BB1191" s="29"/>
      <c r="BC1191" s="29"/>
      <c r="BD1191" s="29"/>
      <c r="BE1191" s="29"/>
      <c r="BF1191" s="29"/>
      <c r="BG1191" s="29"/>
      <c r="BH1191" s="29"/>
      <c r="BI1191" s="29"/>
      <c r="BJ1191" s="29"/>
      <c r="BK1191" s="29"/>
      <c r="BL1191" s="29"/>
      <c r="BM1191" s="29"/>
      <c r="BN1191" s="29"/>
      <c r="BO1191" s="29"/>
      <c r="BP1191" s="29"/>
      <c r="BQ1191" s="29"/>
      <c r="BR1191" s="29"/>
      <c r="BS1191" s="29"/>
      <c r="BT1191" s="29"/>
      <c r="BU1191" s="29"/>
    </row>
    <row r="1192" spans="34:73" x14ac:dyDescent="0.25"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  <c r="AY1192" s="29"/>
      <c r="AZ1192" s="29"/>
      <c r="BA1192" s="29"/>
      <c r="BB1192" s="29"/>
      <c r="BC1192" s="29"/>
      <c r="BD1192" s="29"/>
      <c r="BE1192" s="29"/>
      <c r="BF1192" s="29"/>
      <c r="BG1192" s="29"/>
      <c r="BH1192" s="29"/>
      <c r="BI1192" s="29"/>
      <c r="BJ1192" s="29"/>
      <c r="BK1192" s="29"/>
      <c r="BL1192" s="29"/>
      <c r="BM1192" s="29"/>
      <c r="BN1192" s="29"/>
      <c r="BO1192" s="29"/>
      <c r="BP1192" s="29"/>
      <c r="BQ1192" s="29"/>
      <c r="BR1192" s="29"/>
      <c r="BS1192" s="29"/>
      <c r="BT1192" s="29"/>
      <c r="BU1192" s="29"/>
    </row>
    <row r="1193" spans="34:73" x14ac:dyDescent="0.25">
      <c r="AH1193" s="29"/>
      <c r="AI1193" s="29"/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X1193" s="29"/>
      <c r="AY1193" s="29"/>
      <c r="AZ1193" s="29"/>
      <c r="BA1193" s="29"/>
      <c r="BB1193" s="29"/>
      <c r="BC1193" s="29"/>
      <c r="BD1193" s="29"/>
      <c r="BE1193" s="29"/>
      <c r="BF1193" s="29"/>
      <c r="BG1193" s="29"/>
      <c r="BH1193" s="29"/>
      <c r="BI1193" s="29"/>
      <c r="BJ1193" s="29"/>
      <c r="BK1193" s="29"/>
      <c r="BL1193" s="29"/>
      <c r="BM1193" s="29"/>
      <c r="BN1193" s="29"/>
      <c r="BO1193" s="29"/>
      <c r="BP1193" s="29"/>
      <c r="BQ1193" s="29"/>
      <c r="BR1193" s="29"/>
      <c r="BS1193" s="29"/>
      <c r="BT1193" s="29"/>
      <c r="BU1193" s="29"/>
    </row>
    <row r="1194" spans="34:73" x14ac:dyDescent="0.25">
      <c r="AH1194" s="29"/>
      <c r="AI1194" s="29"/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X1194" s="29"/>
      <c r="AY1194" s="29"/>
      <c r="AZ1194" s="29"/>
      <c r="BA1194" s="29"/>
      <c r="BB1194" s="29"/>
      <c r="BC1194" s="29"/>
      <c r="BD1194" s="29"/>
      <c r="BE1194" s="29"/>
      <c r="BF1194" s="29"/>
      <c r="BG1194" s="29"/>
      <c r="BH1194" s="29"/>
      <c r="BI1194" s="29"/>
      <c r="BJ1194" s="29"/>
      <c r="BK1194" s="29"/>
      <c r="BL1194" s="29"/>
      <c r="BM1194" s="29"/>
      <c r="BN1194" s="29"/>
      <c r="BO1194" s="29"/>
      <c r="BP1194" s="29"/>
      <c r="BQ1194" s="29"/>
      <c r="BR1194" s="29"/>
      <c r="BS1194" s="29"/>
      <c r="BT1194" s="29"/>
      <c r="BU1194" s="29"/>
    </row>
    <row r="1195" spans="34:73" x14ac:dyDescent="0.25"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  <c r="AY1195" s="29"/>
      <c r="AZ1195" s="29"/>
      <c r="BA1195" s="29"/>
      <c r="BB1195" s="29"/>
      <c r="BC1195" s="29"/>
      <c r="BD1195" s="29"/>
      <c r="BE1195" s="29"/>
      <c r="BF1195" s="29"/>
      <c r="BG1195" s="29"/>
      <c r="BH1195" s="29"/>
      <c r="BI1195" s="29"/>
      <c r="BJ1195" s="29"/>
      <c r="BK1195" s="29"/>
      <c r="BL1195" s="29"/>
      <c r="BM1195" s="29"/>
      <c r="BN1195" s="29"/>
      <c r="BO1195" s="29"/>
      <c r="BP1195" s="29"/>
      <c r="BQ1195" s="29"/>
      <c r="BR1195" s="29"/>
      <c r="BS1195" s="29"/>
      <c r="BT1195" s="29"/>
      <c r="BU1195" s="29"/>
    </row>
    <row r="1196" spans="34:73" x14ac:dyDescent="0.25">
      <c r="AH1196" s="29"/>
      <c r="AI1196" s="29"/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X1196" s="29"/>
      <c r="AY1196" s="29"/>
      <c r="AZ1196" s="29"/>
      <c r="BA1196" s="29"/>
      <c r="BB1196" s="29"/>
      <c r="BC1196" s="29"/>
      <c r="BD1196" s="29"/>
      <c r="BE1196" s="29"/>
      <c r="BF1196" s="29"/>
      <c r="BG1196" s="29"/>
      <c r="BH1196" s="29"/>
      <c r="BI1196" s="29"/>
      <c r="BJ1196" s="29"/>
      <c r="BK1196" s="29"/>
      <c r="BL1196" s="29"/>
      <c r="BM1196" s="29"/>
      <c r="BN1196" s="29"/>
      <c r="BO1196" s="29"/>
      <c r="BP1196" s="29"/>
      <c r="BQ1196" s="29"/>
      <c r="BR1196" s="29"/>
      <c r="BS1196" s="29"/>
      <c r="BT1196" s="29"/>
      <c r="BU1196" s="29"/>
    </row>
    <row r="1197" spans="34:73" x14ac:dyDescent="0.25"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  <c r="AY1197" s="29"/>
      <c r="AZ1197" s="29"/>
      <c r="BA1197" s="29"/>
      <c r="BB1197" s="29"/>
      <c r="BC1197" s="29"/>
      <c r="BD1197" s="29"/>
      <c r="BE1197" s="29"/>
      <c r="BF1197" s="29"/>
      <c r="BG1197" s="29"/>
      <c r="BH1197" s="29"/>
      <c r="BI1197" s="29"/>
      <c r="BJ1197" s="29"/>
      <c r="BK1197" s="29"/>
      <c r="BL1197" s="29"/>
      <c r="BM1197" s="29"/>
      <c r="BN1197" s="29"/>
      <c r="BO1197" s="29"/>
      <c r="BP1197" s="29"/>
      <c r="BQ1197" s="29"/>
      <c r="BR1197" s="29"/>
      <c r="BS1197" s="29"/>
      <c r="BT1197" s="29"/>
      <c r="BU1197" s="29"/>
    </row>
    <row r="1198" spans="34:73" x14ac:dyDescent="0.25"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  <c r="AY1198" s="29"/>
      <c r="AZ1198" s="29"/>
      <c r="BA1198" s="29"/>
      <c r="BB1198" s="29"/>
      <c r="BC1198" s="29"/>
      <c r="BD1198" s="29"/>
      <c r="BE1198" s="29"/>
      <c r="BF1198" s="29"/>
      <c r="BG1198" s="29"/>
      <c r="BH1198" s="29"/>
      <c r="BI1198" s="29"/>
      <c r="BJ1198" s="29"/>
      <c r="BK1198" s="29"/>
      <c r="BL1198" s="29"/>
      <c r="BM1198" s="29"/>
      <c r="BN1198" s="29"/>
      <c r="BO1198" s="29"/>
      <c r="BP1198" s="29"/>
      <c r="BQ1198" s="29"/>
      <c r="BR1198" s="29"/>
      <c r="BS1198" s="29"/>
      <c r="BT1198" s="29"/>
      <c r="BU1198" s="29"/>
    </row>
    <row r="1199" spans="34:73" x14ac:dyDescent="0.25"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  <c r="AY1199" s="29"/>
      <c r="AZ1199" s="29"/>
      <c r="BA1199" s="29"/>
      <c r="BB1199" s="29"/>
      <c r="BC1199" s="29"/>
      <c r="BD1199" s="29"/>
      <c r="BE1199" s="29"/>
      <c r="BF1199" s="29"/>
      <c r="BG1199" s="29"/>
      <c r="BH1199" s="29"/>
      <c r="BI1199" s="29"/>
      <c r="BJ1199" s="29"/>
      <c r="BK1199" s="29"/>
      <c r="BL1199" s="29"/>
      <c r="BM1199" s="29"/>
      <c r="BN1199" s="29"/>
      <c r="BO1199" s="29"/>
      <c r="BP1199" s="29"/>
      <c r="BQ1199" s="29"/>
      <c r="BR1199" s="29"/>
      <c r="BS1199" s="29"/>
      <c r="BT1199" s="29"/>
      <c r="BU1199" s="29"/>
    </row>
    <row r="1200" spans="34:73" x14ac:dyDescent="0.25">
      <c r="AH1200" s="29"/>
      <c r="AI1200" s="29"/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X1200" s="29"/>
      <c r="AY1200" s="29"/>
      <c r="AZ1200" s="29"/>
      <c r="BA1200" s="29"/>
      <c r="BB1200" s="29"/>
      <c r="BC1200" s="29"/>
      <c r="BD1200" s="29"/>
      <c r="BE1200" s="29"/>
      <c r="BF1200" s="29"/>
      <c r="BG1200" s="29"/>
      <c r="BH1200" s="29"/>
      <c r="BI1200" s="29"/>
      <c r="BJ1200" s="29"/>
      <c r="BK1200" s="29"/>
      <c r="BL1200" s="29"/>
      <c r="BM1200" s="29"/>
      <c r="BN1200" s="29"/>
      <c r="BO1200" s="29"/>
      <c r="BP1200" s="29"/>
      <c r="BQ1200" s="29"/>
      <c r="BR1200" s="29"/>
      <c r="BS1200" s="29"/>
      <c r="BT1200" s="29"/>
      <c r="BU1200" s="29"/>
    </row>
    <row r="1201" spans="34:73" x14ac:dyDescent="0.25"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29"/>
      <c r="BB1201" s="29"/>
      <c r="BC1201" s="29"/>
      <c r="BD1201" s="29"/>
      <c r="BE1201" s="29"/>
      <c r="BF1201" s="29"/>
      <c r="BG1201" s="29"/>
      <c r="BH1201" s="29"/>
      <c r="BI1201" s="29"/>
      <c r="BJ1201" s="29"/>
      <c r="BK1201" s="29"/>
      <c r="BL1201" s="29"/>
      <c r="BM1201" s="29"/>
      <c r="BN1201" s="29"/>
      <c r="BO1201" s="29"/>
      <c r="BP1201" s="29"/>
      <c r="BQ1201" s="29"/>
      <c r="BR1201" s="29"/>
      <c r="BS1201" s="29"/>
      <c r="BT1201" s="29"/>
      <c r="BU1201" s="29"/>
    </row>
    <row r="1202" spans="34:73" x14ac:dyDescent="0.25"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X1202" s="29"/>
      <c r="AY1202" s="29"/>
      <c r="AZ1202" s="29"/>
      <c r="BA1202" s="29"/>
      <c r="BB1202" s="29"/>
      <c r="BC1202" s="29"/>
      <c r="BD1202" s="29"/>
      <c r="BE1202" s="29"/>
      <c r="BF1202" s="29"/>
      <c r="BG1202" s="29"/>
      <c r="BH1202" s="29"/>
      <c r="BI1202" s="29"/>
      <c r="BJ1202" s="29"/>
      <c r="BK1202" s="29"/>
      <c r="BL1202" s="29"/>
      <c r="BM1202" s="29"/>
      <c r="BN1202" s="29"/>
      <c r="BO1202" s="29"/>
      <c r="BP1202" s="29"/>
      <c r="BQ1202" s="29"/>
      <c r="BR1202" s="29"/>
      <c r="BS1202" s="29"/>
      <c r="BT1202" s="29"/>
      <c r="BU1202" s="29"/>
    </row>
    <row r="1203" spans="34:73" x14ac:dyDescent="0.25">
      <c r="AH1203" s="29"/>
      <c r="AI1203" s="29"/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X1203" s="29"/>
      <c r="AY1203" s="29"/>
      <c r="AZ1203" s="29"/>
      <c r="BA1203" s="29"/>
      <c r="BB1203" s="29"/>
      <c r="BC1203" s="29"/>
      <c r="BD1203" s="29"/>
      <c r="BE1203" s="29"/>
      <c r="BF1203" s="29"/>
      <c r="BG1203" s="29"/>
      <c r="BH1203" s="29"/>
      <c r="BI1203" s="29"/>
      <c r="BJ1203" s="29"/>
      <c r="BK1203" s="29"/>
      <c r="BL1203" s="29"/>
      <c r="BM1203" s="29"/>
      <c r="BN1203" s="29"/>
      <c r="BO1203" s="29"/>
      <c r="BP1203" s="29"/>
      <c r="BQ1203" s="29"/>
      <c r="BR1203" s="29"/>
      <c r="BS1203" s="29"/>
      <c r="BT1203" s="29"/>
      <c r="BU1203" s="29"/>
    </row>
    <row r="1204" spans="34:73" x14ac:dyDescent="0.25">
      <c r="AH1204" s="29"/>
      <c r="AI1204" s="29"/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X1204" s="29"/>
      <c r="AY1204" s="29"/>
      <c r="AZ1204" s="29"/>
      <c r="BA1204" s="29"/>
      <c r="BB1204" s="29"/>
      <c r="BC1204" s="29"/>
      <c r="BD1204" s="29"/>
      <c r="BE1204" s="29"/>
      <c r="BF1204" s="29"/>
      <c r="BG1204" s="29"/>
      <c r="BH1204" s="29"/>
      <c r="BI1204" s="29"/>
      <c r="BJ1204" s="29"/>
      <c r="BK1204" s="29"/>
      <c r="BL1204" s="29"/>
      <c r="BM1204" s="29"/>
      <c r="BN1204" s="29"/>
      <c r="BO1204" s="29"/>
      <c r="BP1204" s="29"/>
      <c r="BQ1204" s="29"/>
      <c r="BR1204" s="29"/>
      <c r="BS1204" s="29"/>
      <c r="BT1204" s="29"/>
      <c r="BU1204" s="29"/>
    </row>
    <row r="1205" spans="34:73" x14ac:dyDescent="0.25">
      <c r="AH1205" s="29"/>
      <c r="AI1205" s="29"/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X1205" s="29"/>
      <c r="AY1205" s="29"/>
      <c r="AZ1205" s="29"/>
      <c r="BA1205" s="29"/>
      <c r="BB1205" s="29"/>
      <c r="BC1205" s="29"/>
      <c r="BD1205" s="29"/>
      <c r="BE1205" s="29"/>
      <c r="BF1205" s="29"/>
      <c r="BG1205" s="29"/>
      <c r="BH1205" s="29"/>
      <c r="BI1205" s="29"/>
      <c r="BJ1205" s="29"/>
      <c r="BK1205" s="29"/>
      <c r="BL1205" s="29"/>
      <c r="BM1205" s="29"/>
      <c r="BN1205" s="29"/>
      <c r="BO1205" s="29"/>
      <c r="BP1205" s="29"/>
      <c r="BQ1205" s="29"/>
      <c r="BR1205" s="29"/>
      <c r="BS1205" s="29"/>
      <c r="BT1205" s="29"/>
      <c r="BU1205" s="29"/>
    </row>
    <row r="1206" spans="34:73" x14ac:dyDescent="0.25"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  <c r="AY1206" s="29"/>
      <c r="AZ1206" s="29"/>
      <c r="BA1206" s="29"/>
      <c r="BB1206" s="29"/>
      <c r="BC1206" s="29"/>
      <c r="BD1206" s="29"/>
      <c r="BE1206" s="29"/>
      <c r="BF1206" s="29"/>
      <c r="BG1206" s="29"/>
      <c r="BH1206" s="29"/>
      <c r="BI1206" s="29"/>
      <c r="BJ1206" s="29"/>
      <c r="BK1206" s="29"/>
      <c r="BL1206" s="29"/>
      <c r="BM1206" s="29"/>
      <c r="BN1206" s="29"/>
      <c r="BO1206" s="29"/>
      <c r="BP1206" s="29"/>
      <c r="BQ1206" s="29"/>
      <c r="BR1206" s="29"/>
      <c r="BS1206" s="29"/>
      <c r="BT1206" s="29"/>
      <c r="BU1206" s="29"/>
    </row>
    <row r="1207" spans="34:73" x14ac:dyDescent="0.25">
      <c r="AH1207" s="29"/>
      <c r="AI1207" s="29"/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X1207" s="29"/>
      <c r="AY1207" s="29"/>
      <c r="AZ1207" s="29"/>
      <c r="BA1207" s="29"/>
      <c r="BB1207" s="29"/>
      <c r="BC1207" s="29"/>
      <c r="BD1207" s="29"/>
      <c r="BE1207" s="29"/>
      <c r="BF1207" s="29"/>
      <c r="BG1207" s="29"/>
      <c r="BH1207" s="29"/>
      <c r="BI1207" s="29"/>
      <c r="BJ1207" s="29"/>
      <c r="BK1207" s="29"/>
      <c r="BL1207" s="29"/>
      <c r="BM1207" s="29"/>
      <c r="BN1207" s="29"/>
      <c r="BO1207" s="29"/>
      <c r="BP1207" s="29"/>
      <c r="BQ1207" s="29"/>
      <c r="BR1207" s="29"/>
      <c r="BS1207" s="29"/>
      <c r="BT1207" s="29"/>
      <c r="BU1207" s="29"/>
    </row>
    <row r="1208" spans="34:73" x14ac:dyDescent="0.25">
      <c r="AH1208" s="29"/>
      <c r="AI1208" s="29"/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  <c r="AT1208" s="29"/>
      <c r="AU1208" s="29"/>
      <c r="AV1208" s="29"/>
      <c r="AW1208" s="29"/>
      <c r="AX1208" s="29"/>
      <c r="AY1208" s="29"/>
      <c r="AZ1208" s="29"/>
      <c r="BA1208" s="29"/>
      <c r="BB1208" s="29"/>
      <c r="BC1208" s="29"/>
      <c r="BD1208" s="29"/>
      <c r="BE1208" s="29"/>
      <c r="BF1208" s="29"/>
      <c r="BG1208" s="29"/>
      <c r="BH1208" s="29"/>
      <c r="BI1208" s="29"/>
      <c r="BJ1208" s="29"/>
      <c r="BK1208" s="29"/>
      <c r="BL1208" s="29"/>
      <c r="BM1208" s="29"/>
      <c r="BN1208" s="29"/>
      <c r="BO1208" s="29"/>
      <c r="BP1208" s="29"/>
      <c r="BQ1208" s="29"/>
      <c r="BR1208" s="29"/>
      <c r="BS1208" s="29"/>
      <c r="BT1208" s="29"/>
      <c r="BU1208" s="29"/>
    </row>
    <row r="1209" spans="34:73" x14ac:dyDescent="0.25"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X1209" s="29"/>
      <c r="AY1209" s="29"/>
      <c r="AZ1209" s="29"/>
      <c r="BA1209" s="29"/>
      <c r="BB1209" s="29"/>
      <c r="BC1209" s="29"/>
      <c r="BD1209" s="29"/>
      <c r="BE1209" s="29"/>
      <c r="BF1209" s="29"/>
      <c r="BG1209" s="29"/>
      <c r="BH1209" s="29"/>
      <c r="BI1209" s="29"/>
      <c r="BJ1209" s="29"/>
      <c r="BK1209" s="29"/>
      <c r="BL1209" s="29"/>
      <c r="BM1209" s="29"/>
      <c r="BN1209" s="29"/>
      <c r="BO1209" s="29"/>
      <c r="BP1209" s="29"/>
      <c r="BQ1209" s="29"/>
      <c r="BR1209" s="29"/>
      <c r="BS1209" s="29"/>
      <c r="BT1209" s="29"/>
      <c r="BU1209" s="29"/>
    </row>
    <row r="1210" spans="34:73" x14ac:dyDescent="0.25">
      <c r="AH1210" s="29"/>
      <c r="AI1210" s="29"/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  <c r="AT1210" s="29"/>
      <c r="AU1210" s="29"/>
      <c r="AV1210" s="29"/>
      <c r="AW1210" s="29"/>
      <c r="AX1210" s="29"/>
      <c r="AY1210" s="29"/>
      <c r="AZ1210" s="29"/>
      <c r="BA1210" s="29"/>
      <c r="BB1210" s="29"/>
      <c r="BC1210" s="29"/>
      <c r="BD1210" s="29"/>
      <c r="BE1210" s="29"/>
      <c r="BF1210" s="29"/>
      <c r="BG1210" s="29"/>
      <c r="BH1210" s="29"/>
      <c r="BI1210" s="29"/>
      <c r="BJ1210" s="29"/>
      <c r="BK1210" s="29"/>
      <c r="BL1210" s="29"/>
      <c r="BM1210" s="29"/>
      <c r="BN1210" s="29"/>
      <c r="BO1210" s="29"/>
      <c r="BP1210" s="29"/>
      <c r="BQ1210" s="29"/>
      <c r="BR1210" s="29"/>
      <c r="BS1210" s="29"/>
      <c r="BT1210" s="29"/>
      <c r="BU1210" s="29"/>
    </row>
    <row r="1211" spans="34:73" x14ac:dyDescent="0.25">
      <c r="AH1211" s="29"/>
      <c r="AI1211" s="29"/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  <c r="AT1211" s="29"/>
      <c r="AU1211" s="29"/>
      <c r="AV1211" s="29"/>
      <c r="AW1211" s="29"/>
      <c r="AX1211" s="29"/>
      <c r="AY1211" s="29"/>
      <c r="AZ1211" s="29"/>
      <c r="BA1211" s="29"/>
      <c r="BB1211" s="29"/>
      <c r="BC1211" s="29"/>
      <c r="BD1211" s="29"/>
      <c r="BE1211" s="29"/>
      <c r="BF1211" s="29"/>
      <c r="BG1211" s="29"/>
      <c r="BH1211" s="29"/>
      <c r="BI1211" s="29"/>
      <c r="BJ1211" s="29"/>
      <c r="BK1211" s="29"/>
      <c r="BL1211" s="29"/>
      <c r="BM1211" s="29"/>
      <c r="BN1211" s="29"/>
      <c r="BO1211" s="29"/>
      <c r="BP1211" s="29"/>
      <c r="BQ1211" s="29"/>
      <c r="BR1211" s="29"/>
      <c r="BS1211" s="29"/>
      <c r="BT1211" s="29"/>
      <c r="BU1211" s="29"/>
    </row>
    <row r="1212" spans="34:73" x14ac:dyDescent="0.25"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  <c r="AY1212" s="29"/>
      <c r="AZ1212" s="29"/>
      <c r="BA1212" s="29"/>
      <c r="BB1212" s="29"/>
      <c r="BC1212" s="29"/>
      <c r="BD1212" s="29"/>
      <c r="BE1212" s="29"/>
      <c r="BF1212" s="29"/>
      <c r="BG1212" s="29"/>
      <c r="BH1212" s="29"/>
      <c r="BI1212" s="29"/>
      <c r="BJ1212" s="29"/>
      <c r="BK1212" s="29"/>
      <c r="BL1212" s="29"/>
      <c r="BM1212" s="29"/>
      <c r="BN1212" s="29"/>
      <c r="BO1212" s="29"/>
      <c r="BP1212" s="29"/>
      <c r="BQ1212" s="29"/>
      <c r="BR1212" s="29"/>
      <c r="BS1212" s="29"/>
      <c r="BT1212" s="29"/>
      <c r="BU1212" s="29"/>
    </row>
    <row r="1213" spans="34:73" x14ac:dyDescent="0.25"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X1213" s="29"/>
      <c r="AY1213" s="29"/>
      <c r="AZ1213" s="29"/>
      <c r="BA1213" s="29"/>
      <c r="BB1213" s="29"/>
      <c r="BC1213" s="29"/>
      <c r="BD1213" s="29"/>
      <c r="BE1213" s="29"/>
      <c r="BF1213" s="29"/>
      <c r="BG1213" s="29"/>
      <c r="BH1213" s="29"/>
      <c r="BI1213" s="29"/>
      <c r="BJ1213" s="29"/>
      <c r="BK1213" s="29"/>
      <c r="BL1213" s="29"/>
      <c r="BM1213" s="29"/>
      <c r="BN1213" s="29"/>
      <c r="BO1213" s="29"/>
      <c r="BP1213" s="29"/>
      <c r="BQ1213" s="29"/>
      <c r="BR1213" s="29"/>
      <c r="BS1213" s="29"/>
      <c r="BT1213" s="29"/>
      <c r="BU1213" s="29"/>
    </row>
    <row r="1214" spans="34:73" x14ac:dyDescent="0.25"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X1214" s="29"/>
      <c r="AY1214" s="29"/>
      <c r="AZ1214" s="29"/>
      <c r="BA1214" s="29"/>
      <c r="BB1214" s="29"/>
      <c r="BC1214" s="29"/>
      <c r="BD1214" s="29"/>
      <c r="BE1214" s="29"/>
      <c r="BF1214" s="29"/>
      <c r="BG1214" s="29"/>
      <c r="BH1214" s="29"/>
      <c r="BI1214" s="29"/>
      <c r="BJ1214" s="29"/>
      <c r="BK1214" s="29"/>
      <c r="BL1214" s="29"/>
      <c r="BM1214" s="29"/>
      <c r="BN1214" s="29"/>
      <c r="BO1214" s="29"/>
      <c r="BP1214" s="29"/>
      <c r="BQ1214" s="29"/>
      <c r="BR1214" s="29"/>
      <c r="BS1214" s="29"/>
      <c r="BT1214" s="29"/>
      <c r="BU1214" s="29"/>
    </row>
    <row r="1215" spans="34:73" x14ac:dyDescent="0.25">
      <c r="AH1215" s="29"/>
      <c r="AI1215" s="29"/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  <c r="AT1215" s="29"/>
      <c r="AU1215" s="29"/>
      <c r="AV1215" s="29"/>
      <c r="AW1215" s="29"/>
      <c r="AX1215" s="29"/>
      <c r="AY1215" s="29"/>
      <c r="AZ1215" s="29"/>
      <c r="BA1215" s="29"/>
      <c r="BB1215" s="29"/>
      <c r="BC1215" s="29"/>
      <c r="BD1215" s="29"/>
      <c r="BE1215" s="29"/>
      <c r="BF1215" s="29"/>
      <c r="BG1215" s="29"/>
      <c r="BH1215" s="29"/>
      <c r="BI1215" s="29"/>
      <c r="BJ1215" s="29"/>
      <c r="BK1215" s="29"/>
      <c r="BL1215" s="29"/>
      <c r="BM1215" s="29"/>
      <c r="BN1215" s="29"/>
      <c r="BO1215" s="29"/>
      <c r="BP1215" s="29"/>
      <c r="BQ1215" s="29"/>
      <c r="BR1215" s="29"/>
      <c r="BS1215" s="29"/>
      <c r="BT1215" s="29"/>
      <c r="BU1215" s="29"/>
    </row>
    <row r="1216" spans="34:73" x14ac:dyDescent="0.25"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X1216" s="29"/>
      <c r="AY1216" s="29"/>
      <c r="AZ1216" s="29"/>
      <c r="BA1216" s="29"/>
      <c r="BB1216" s="29"/>
      <c r="BC1216" s="29"/>
      <c r="BD1216" s="29"/>
      <c r="BE1216" s="29"/>
      <c r="BF1216" s="29"/>
      <c r="BG1216" s="29"/>
      <c r="BH1216" s="29"/>
      <c r="BI1216" s="29"/>
      <c r="BJ1216" s="29"/>
      <c r="BK1216" s="29"/>
      <c r="BL1216" s="29"/>
      <c r="BM1216" s="29"/>
      <c r="BN1216" s="29"/>
      <c r="BO1216" s="29"/>
      <c r="BP1216" s="29"/>
      <c r="BQ1216" s="29"/>
      <c r="BR1216" s="29"/>
      <c r="BS1216" s="29"/>
      <c r="BT1216" s="29"/>
      <c r="BU1216" s="29"/>
    </row>
    <row r="1217" spans="34:73" x14ac:dyDescent="0.25"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  <c r="AT1217" s="29"/>
      <c r="AU1217" s="29"/>
      <c r="AV1217" s="29"/>
      <c r="AW1217" s="29"/>
      <c r="AX1217" s="29"/>
      <c r="AY1217" s="29"/>
      <c r="AZ1217" s="29"/>
      <c r="BA1217" s="29"/>
      <c r="BB1217" s="29"/>
      <c r="BC1217" s="29"/>
      <c r="BD1217" s="29"/>
      <c r="BE1217" s="29"/>
      <c r="BF1217" s="29"/>
      <c r="BG1217" s="29"/>
      <c r="BH1217" s="29"/>
      <c r="BI1217" s="29"/>
      <c r="BJ1217" s="29"/>
      <c r="BK1217" s="29"/>
      <c r="BL1217" s="29"/>
      <c r="BM1217" s="29"/>
      <c r="BN1217" s="29"/>
      <c r="BO1217" s="29"/>
      <c r="BP1217" s="29"/>
      <c r="BQ1217" s="29"/>
      <c r="BR1217" s="29"/>
      <c r="BS1217" s="29"/>
      <c r="BT1217" s="29"/>
      <c r="BU1217" s="29"/>
    </row>
    <row r="1218" spans="34:73" x14ac:dyDescent="0.25"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  <c r="AT1218" s="29"/>
      <c r="AU1218" s="29"/>
      <c r="AV1218" s="29"/>
      <c r="AW1218" s="29"/>
      <c r="AX1218" s="29"/>
      <c r="AY1218" s="29"/>
      <c r="AZ1218" s="29"/>
      <c r="BA1218" s="29"/>
      <c r="BB1218" s="29"/>
      <c r="BC1218" s="29"/>
      <c r="BD1218" s="29"/>
      <c r="BE1218" s="29"/>
      <c r="BF1218" s="29"/>
      <c r="BG1218" s="29"/>
      <c r="BH1218" s="29"/>
      <c r="BI1218" s="29"/>
      <c r="BJ1218" s="29"/>
      <c r="BK1218" s="29"/>
      <c r="BL1218" s="29"/>
      <c r="BM1218" s="29"/>
      <c r="BN1218" s="29"/>
      <c r="BO1218" s="29"/>
      <c r="BP1218" s="29"/>
      <c r="BQ1218" s="29"/>
      <c r="BR1218" s="29"/>
      <c r="BS1218" s="29"/>
      <c r="BT1218" s="29"/>
      <c r="BU1218" s="29"/>
    </row>
    <row r="1219" spans="34:73" x14ac:dyDescent="0.25">
      <c r="AH1219" s="29"/>
      <c r="AI1219" s="29"/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  <c r="AT1219" s="29"/>
      <c r="AU1219" s="29"/>
      <c r="AV1219" s="29"/>
      <c r="AW1219" s="29"/>
      <c r="AX1219" s="29"/>
      <c r="AY1219" s="29"/>
      <c r="AZ1219" s="29"/>
      <c r="BA1219" s="29"/>
      <c r="BB1219" s="29"/>
      <c r="BC1219" s="29"/>
      <c r="BD1219" s="29"/>
      <c r="BE1219" s="29"/>
      <c r="BF1219" s="29"/>
      <c r="BG1219" s="29"/>
      <c r="BH1219" s="29"/>
      <c r="BI1219" s="29"/>
      <c r="BJ1219" s="29"/>
      <c r="BK1219" s="29"/>
      <c r="BL1219" s="29"/>
      <c r="BM1219" s="29"/>
      <c r="BN1219" s="29"/>
      <c r="BO1219" s="29"/>
      <c r="BP1219" s="29"/>
      <c r="BQ1219" s="29"/>
      <c r="BR1219" s="29"/>
      <c r="BS1219" s="29"/>
      <c r="BT1219" s="29"/>
      <c r="BU1219" s="29"/>
    </row>
    <row r="1220" spans="34:73" x14ac:dyDescent="0.25"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  <c r="AT1220" s="29"/>
      <c r="AU1220" s="29"/>
      <c r="AV1220" s="29"/>
      <c r="AW1220" s="29"/>
      <c r="AX1220" s="29"/>
      <c r="AY1220" s="29"/>
      <c r="AZ1220" s="29"/>
      <c r="BA1220" s="29"/>
      <c r="BB1220" s="29"/>
      <c r="BC1220" s="29"/>
      <c r="BD1220" s="29"/>
      <c r="BE1220" s="29"/>
      <c r="BF1220" s="29"/>
      <c r="BG1220" s="29"/>
      <c r="BH1220" s="29"/>
      <c r="BI1220" s="29"/>
      <c r="BJ1220" s="29"/>
      <c r="BK1220" s="29"/>
      <c r="BL1220" s="29"/>
      <c r="BM1220" s="29"/>
      <c r="BN1220" s="29"/>
      <c r="BO1220" s="29"/>
      <c r="BP1220" s="29"/>
      <c r="BQ1220" s="29"/>
      <c r="BR1220" s="29"/>
      <c r="BS1220" s="29"/>
      <c r="BT1220" s="29"/>
      <c r="BU1220" s="29"/>
    </row>
    <row r="1221" spans="34:73" x14ac:dyDescent="0.25">
      <c r="AH1221" s="29"/>
      <c r="AI1221" s="29"/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  <c r="AT1221" s="29"/>
      <c r="AU1221" s="29"/>
      <c r="AV1221" s="29"/>
      <c r="AW1221" s="29"/>
      <c r="AX1221" s="29"/>
      <c r="AY1221" s="29"/>
      <c r="AZ1221" s="29"/>
      <c r="BA1221" s="29"/>
      <c r="BB1221" s="29"/>
      <c r="BC1221" s="29"/>
      <c r="BD1221" s="29"/>
      <c r="BE1221" s="29"/>
      <c r="BF1221" s="29"/>
      <c r="BG1221" s="29"/>
      <c r="BH1221" s="29"/>
      <c r="BI1221" s="29"/>
      <c r="BJ1221" s="29"/>
      <c r="BK1221" s="29"/>
      <c r="BL1221" s="29"/>
      <c r="BM1221" s="29"/>
      <c r="BN1221" s="29"/>
      <c r="BO1221" s="29"/>
      <c r="BP1221" s="29"/>
      <c r="BQ1221" s="29"/>
      <c r="BR1221" s="29"/>
      <c r="BS1221" s="29"/>
      <c r="BT1221" s="29"/>
      <c r="BU1221" s="29"/>
    </row>
    <row r="1222" spans="34:73" x14ac:dyDescent="0.25">
      <c r="AH1222" s="29"/>
      <c r="AI1222" s="29"/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  <c r="AT1222" s="29"/>
      <c r="AU1222" s="29"/>
      <c r="AV1222" s="29"/>
      <c r="AW1222" s="29"/>
      <c r="AX1222" s="29"/>
      <c r="AY1222" s="29"/>
      <c r="AZ1222" s="29"/>
      <c r="BA1222" s="29"/>
      <c r="BB1222" s="29"/>
      <c r="BC1222" s="29"/>
      <c r="BD1222" s="29"/>
      <c r="BE1222" s="29"/>
      <c r="BF1222" s="29"/>
      <c r="BG1222" s="29"/>
      <c r="BH1222" s="29"/>
      <c r="BI1222" s="29"/>
      <c r="BJ1222" s="29"/>
      <c r="BK1222" s="29"/>
      <c r="BL1222" s="29"/>
      <c r="BM1222" s="29"/>
      <c r="BN1222" s="29"/>
      <c r="BO1222" s="29"/>
      <c r="BP1222" s="29"/>
      <c r="BQ1222" s="29"/>
      <c r="BR1222" s="29"/>
      <c r="BS1222" s="29"/>
      <c r="BT1222" s="29"/>
      <c r="BU1222" s="29"/>
    </row>
    <row r="1223" spans="34:73" x14ac:dyDescent="0.25">
      <c r="AH1223" s="29"/>
      <c r="AI1223" s="29"/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  <c r="AT1223" s="29"/>
      <c r="AU1223" s="29"/>
      <c r="AV1223" s="29"/>
      <c r="AW1223" s="29"/>
      <c r="AX1223" s="29"/>
      <c r="AY1223" s="29"/>
      <c r="AZ1223" s="29"/>
      <c r="BA1223" s="29"/>
      <c r="BB1223" s="29"/>
      <c r="BC1223" s="29"/>
      <c r="BD1223" s="29"/>
      <c r="BE1223" s="29"/>
      <c r="BF1223" s="29"/>
      <c r="BG1223" s="29"/>
      <c r="BH1223" s="29"/>
      <c r="BI1223" s="29"/>
      <c r="BJ1223" s="29"/>
      <c r="BK1223" s="29"/>
      <c r="BL1223" s="29"/>
      <c r="BM1223" s="29"/>
      <c r="BN1223" s="29"/>
      <c r="BO1223" s="29"/>
      <c r="BP1223" s="29"/>
      <c r="BQ1223" s="29"/>
      <c r="BR1223" s="29"/>
      <c r="BS1223" s="29"/>
      <c r="BT1223" s="29"/>
      <c r="BU1223" s="29"/>
    </row>
    <row r="1224" spans="34:73" x14ac:dyDescent="0.25">
      <c r="AH1224" s="29"/>
      <c r="AI1224" s="29"/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  <c r="AT1224" s="29"/>
      <c r="AU1224" s="29"/>
      <c r="AV1224" s="29"/>
      <c r="AW1224" s="29"/>
      <c r="AX1224" s="29"/>
      <c r="AY1224" s="29"/>
      <c r="AZ1224" s="29"/>
      <c r="BA1224" s="29"/>
      <c r="BB1224" s="29"/>
      <c r="BC1224" s="29"/>
      <c r="BD1224" s="29"/>
      <c r="BE1224" s="29"/>
      <c r="BF1224" s="29"/>
      <c r="BG1224" s="29"/>
      <c r="BH1224" s="29"/>
      <c r="BI1224" s="29"/>
      <c r="BJ1224" s="29"/>
      <c r="BK1224" s="29"/>
      <c r="BL1224" s="29"/>
      <c r="BM1224" s="29"/>
      <c r="BN1224" s="29"/>
      <c r="BO1224" s="29"/>
      <c r="BP1224" s="29"/>
      <c r="BQ1224" s="29"/>
      <c r="BR1224" s="29"/>
      <c r="BS1224" s="29"/>
      <c r="BT1224" s="29"/>
      <c r="BU1224" s="29"/>
    </row>
    <row r="1225" spans="34:73" x14ac:dyDescent="0.25">
      <c r="AH1225" s="29"/>
      <c r="AI1225" s="29"/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  <c r="AT1225" s="29"/>
      <c r="AU1225" s="29"/>
      <c r="AV1225" s="29"/>
      <c r="AW1225" s="29"/>
      <c r="AX1225" s="29"/>
      <c r="AY1225" s="29"/>
      <c r="AZ1225" s="29"/>
      <c r="BA1225" s="29"/>
      <c r="BB1225" s="29"/>
      <c r="BC1225" s="29"/>
      <c r="BD1225" s="29"/>
      <c r="BE1225" s="29"/>
      <c r="BF1225" s="29"/>
      <c r="BG1225" s="29"/>
      <c r="BH1225" s="29"/>
      <c r="BI1225" s="29"/>
      <c r="BJ1225" s="29"/>
      <c r="BK1225" s="29"/>
      <c r="BL1225" s="29"/>
      <c r="BM1225" s="29"/>
      <c r="BN1225" s="29"/>
      <c r="BO1225" s="29"/>
      <c r="BP1225" s="29"/>
      <c r="BQ1225" s="29"/>
      <c r="BR1225" s="29"/>
      <c r="BS1225" s="29"/>
      <c r="BT1225" s="29"/>
      <c r="BU1225" s="29"/>
    </row>
    <row r="1226" spans="34:73" x14ac:dyDescent="0.25"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  <c r="AY1226" s="29"/>
      <c r="AZ1226" s="29"/>
      <c r="BA1226" s="29"/>
      <c r="BB1226" s="29"/>
      <c r="BC1226" s="29"/>
      <c r="BD1226" s="29"/>
      <c r="BE1226" s="29"/>
      <c r="BF1226" s="29"/>
      <c r="BG1226" s="29"/>
      <c r="BH1226" s="29"/>
      <c r="BI1226" s="29"/>
      <c r="BJ1226" s="29"/>
      <c r="BK1226" s="29"/>
      <c r="BL1226" s="29"/>
      <c r="BM1226" s="29"/>
      <c r="BN1226" s="29"/>
      <c r="BO1226" s="29"/>
      <c r="BP1226" s="29"/>
      <c r="BQ1226" s="29"/>
      <c r="BR1226" s="29"/>
      <c r="BS1226" s="29"/>
      <c r="BT1226" s="29"/>
      <c r="BU1226" s="29"/>
    </row>
    <row r="1227" spans="34:73" x14ac:dyDescent="0.25">
      <c r="AH1227" s="29"/>
      <c r="AI1227" s="29"/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  <c r="AT1227" s="29"/>
      <c r="AU1227" s="29"/>
      <c r="AV1227" s="29"/>
      <c r="AW1227" s="29"/>
      <c r="AX1227" s="29"/>
      <c r="AY1227" s="29"/>
      <c r="AZ1227" s="29"/>
      <c r="BA1227" s="29"/>
      <c r="BB1227" s="29"/>
      <c r="BC1227" s="29"/>
      <c r="BD1227" s="29"/>
      <c r="BE1227" s="29"/>
      <c r="BF1227" s="29"/>
      <c r="BG1227" s="29"/>
      <c r="BH1227" s="29"/>
      <c r="BI1227" s="29"/>
      <c r="BJ1227" s="29"/>
      <c r="BK1227" s="29"/>
      <c r="BL1227" s="29"/>
      <c r="BM1227" s="29"/>
      <c r="BN1227" s="29"/>
      <c r="BO1227" s="29"/>
      <c r="BP1227" s="29"/>
      <c r="BQ1227" s="29"/>
      <c r="BR1227" s="29"/>
      <c r="BS1227" s="29"/>
      <c r="BT1227" s="29"/>
      <c r="BU1227" s="29"/>
    </row>
    <row r="1228" spans="34:73" x14ac:dyDescent="0.25"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X1228" s="29"/>
      <c r="AY1228" s="29"/>
      <c r="AZ1228" s="29"/>
      <c r="BA1228" s="29"/>
      <c r="BB1228" s="29"/>
      <c r="BC1228" s="29"/>
      <c r="BD1228" s="29"/>
      <c r="BE1228" s="29"/>
      <c r="BF1228" s="29"/>
      <c r="BG1228" s="29"/>
      <c r="BH1228" s="29"/>
      <c r="BI1228" s="29"/>
      <c r="BJ1228" s="29"/>
      <c r="BK1228" s="29"/>
      <c r="BL1228" s="29"/>
      <c r="BM1228" s="29"/>
      <c r="BN1228" s="29"/>
      <c r="BO1228" s="29"/>
      <c r="BP1228" s="29"/>
      <c r="BQ1228" s="29"/>
      <c r="BR1228" s="29"/>
      <c r="BS1228" s="29"/>
      <c r="BT1228" s="29"/>
      <c r="BU1228" s="29"/>
    </row>
    <row r="1229" spans="34:73" x14ac:dyDescent="0.25">
      <c r="AH1229" s="29"/>
      <c r="AI1229" s="29"/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  <c r="AT1229" s="29"/>
      <c r="AU1229" s="29"/>
      <c r="AV1229" s="29"/>
      <c r="AW1229" s="29"/>
      <c r="AX1229" s="29"/>
      <c r="AY1229" s="29"/>
      <c r="AZ1229" s="29"/>
      <c r="BA1229" s="29"/>
      <c r="BB1229" s="29"/>
      <c r="BC1229" s="29"/>
      <c r="BD1229" s="29"/>
      <c r="BE1229" s="29"/>
      <c r="BF1229" s="29"/>
      <c r="BG1229" s="29"/>
      <c r="BH1229" s="29"/>
      <c r="BI1229" s="29"/>
      <c r="BJ1229" s="29"/>
      <c r="BK1229" s="29"/>
      <c r="BL1229" s="29"/>
      <c r="BM1229" s="29"/>
      <c r="BN1229" s="29"/>
      <c r="BO1229" s="29"/>
      <c r="BP1229" s="29"/>
      <c r="BQ1229" s="29"/>
      <c r="BR1229" s="29"/>
      <c r="BS1229" s="29"/>
      <c r="BT1229" s="29"/>
      <c r="BU1229" s="29"/>
    </row>
    <row r="1230" spans="34:73" x14ac:dyDescent="0.25">
      <c r="AH1230" s="29"/>
      <c r="AI1230" s="29"/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  <c r="AT1230" s="29"/>
      <c r="AU1230" s="29"/>
      <c r="AV1230" s="29"/>
      <c r="AW1230" s="29"/>
      <c r="AX1230" s="29"/>
      <c r="AY1230" s="29"/>
      <c r="AZ1230" s="29"/>
      <c r="BA1230" s="29"/>
      <c r="BB1230" s="29"/>
      <c r="BC1230" s="29"/>
      <c r="BD1230" s="29"/>
      <c r="BE1230" s="29"/>
      <c r="BF1230" s="29"/>
      <c r="BG1230" s="29"/>
      <c r="BH1230" s="29"/>
      <c r="BI1230" s="29"/>
      <c r="BJ1230" s="29"/>
      <c r="BK1230" s="29"/>
      <c r="BL1230" s="29"/>
      <c r="BM1230" s="29"/>
      <c r="BN1230" s="29"/>
      <c r="BO1230" s="29"/>
      <c r="BP1230" s="29"/>
      <c r="BQ1230" s="29"/>
      <c r="BR1230" s="29"/>
      <c r="BS1230" s="29"/>
      <c r="BT1230" s="29"/>
      <c r="BU1230" s="29"/>
    </row>
    <row r="1231" spans="34:73" x14ac:dyDescent="0.25"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  <c r="AY1231" s="29"/>
      <c r="AZ1231" s="29"/>
      <c r="BA1231" s="29"/>
      <c r="BB1231" s="29"/>
      <c r="BC1231" s="29"/>
      <c r="BD1231" s="29"/>
      <c r="BE1231" s="29"/>
      <c r="BF1231" s="29"/>
      <c r="BG1231" s="29"/>
      <c r="BH1231" s="29"/>
      <c r="BI1231" s="29"/>
      <c r="BJ1231" s="29"/>
      <c r="BK1231" s="29"/>
      <c r="BL1231" s="29"/>
      <c r="BM1231" s="29"/>
      <c r="BN1231" s="29"/>
      <c r="BO1231" s="29"/>
      <c r="BP1231" s="29"/>
      <c r="BQ1231" s="29"/>
      <c r="BR1231" s="29"/>
      <c r="BS1231" s="29"/>
      <c r="BT1231" s="29"/>
      <c r="BU1231" s="29"/>
    </row>
    <row r="1232" spans="34:73" x14ac:dyDescent="0.25">
      <c r="AH1232" s="29"/>
      <c r="AI1232" s="29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X1232" s="29"/>
      <c r="AY1232" s="29"/>
      <c r="AZ1232" s="29"/>
      <c r="BA1232" s="29"/>
      <c r="BB1232" s="29"/>
      <c r="BC1232" s="29"/>
      <c r="BD1232" s="29"/>
      <c r="BE1232" s="29"/>
      <c r="BF1232" s="29"/>
      <c r="BG1232" s="29"/>
      <c r="BH1232" s="29"/>
      <c r="BI1232" s="29"/>
      <c r="BJ1232" s="29"/>
      <c r="BK1232" s="29"/>
      <c r="BL1232" s="29"/>
      <c r="BM1232" s="29"/>
      <c r="BN1232" s="29"/>
      <c r="BO1232" s="29"/>
      <c r="BP1232" s="29"/>
      <c r="BQ1232" s="29"/>
      <c r="BR1232" s="29"/>
      <c r="BS1232" s="29"/>
      <c r="BT1232" s="29"/>
      <c r="BU1232" s="29"/>
    </row>
    <row r="1233" spans="34:73" x14ac:dyDescent="0.25"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X1233" s="29"/>
      <c r="AY1233" s="29"/>
      <c r="AZ1233" s="29"/>
      <c r="BA1233" s="29"/>
      <c r="BB1233" s="29"/>
      <c r="BC1233" s="29"/>
      <c r="BD1233" s="29"/>
      <c r="BE1233" s="29"/>
      <c r="BF1233" s="29"/>
      <c r="BG1233" s="29"/>
      <c r="BH1233" s="29"/>
      <c r="BI1233" s="29"/>
      <c r="BJ1233" s="29"/>
      <c r="BK1233" s="29"/>
      <c r="BL1233" s="29"/>
      <c r="BM1233" s="29"/>
      <c r="BN1233" s="29"/>
      <c r="BO1233" s="29"/>
      <c r="BP1233" s="29"/>
      <c r="BQ1233" s="29"/>
      <c r="BR1233" s="29"/>
      <c r="BS1233" s="29"/>
      <c r="BT1233" s="29"/>
      <c r="BU1233" s="29"/>
    </row>
    <row r="1234" spans="34:73" x14ac:dyDescent="0.25"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X1234" s="29"/>
      <c r="AY1234" s="29"/>
      <c r="AZ1234" s="29"/>
      <c r="BA1234" s="29"/>
      <c r="BB1234" s="29"/>
      <c r="BC1234" s="29"/>
      <c r="BD1234" s="29"/>
      <c r="BE1234" s="29"/>
      <c r="BF1234" s="29"/>
      <c r="BG1234" s="29"/>
      <c r="BH1234" s="29"/>
      <c r="BI1234" s="29"/>
      <c r="BJ1234" s="29"/>
      <c r="BK1234" s="29"/>
      <c r="BL1234" s="29"/>
      <c r="BM1234" s="29"/>
      <c r="BN1234" s="29"/>
      <c r="BO1234" s="29"/>
      <c r="BP1234" s="29"/>
      <c r="BQ1234" s="29"/>
      <c r="BR1234" s="29"/>
      <c r="BS1234" s="29"/>
      <c r="BT1234" s="29"/>
      <c r="BU1234" s="29"/>
    </row>
    <row r="1235" spans="34:73" x14ac:dyDescent="0.25">
      <c r="AH1235" s="29"/>
      <c r="AI1235" s="29"/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  <c r="AT1235" s="29"/>
      <c r="AU1235" s="29"/>
      <c r="AV1235" s="29"/>
      <c r="AW1235" s="29"/>
      <c r="AX1235" s="29"/>
      <c r="AY1235" s="29"/>
      <c r="AZ1235" s="29"/>
      <c r="BA1235" s="29"/>
      <c r="BB1235" s="29"/>
      <c r="BC1235" s="29"/>
      <c r="BD1235" s="29"/>
      <c r="BE1235" s="29"/>
      <c r="BF1235" s="29"/>
      <c r="BG1235" s="29"/>
      <c r="BH1235" s="29"/>
      <c r="BI1235" s="29"/>
      <c r="BJ1235" s="29"/>
      <c r="BK1235" s="29"/>
      <c r="BL1235" s="29"/>
      <c r="BM1235" s="29"/>
      <c r="BN1235" s="29"/>
      <c r="BO1235" s="29"/>
      <c r="BP1235" s="29"/>
      <c r="BQ1235" s="29"/>
      <c r="BR1235" s="29"/>
      <c r="BS1235" s="29"/>
      <c r="BT1235" s="29"/>
      <c r="BU1235" s="29"/>
    </row>
    <row r="1236" spans="34:73" x14ac:dyDescent="0.25"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X1236" s="29"/>
      <c r="AY1236" s="29"/>
      <c r="AZ1236" s="29"/>
      <c r="BA1236" s="29"/>
      <c r="BB1236" s="29"/>
      <c r="BC1236" s="29"/>
      <c r="BD1236" s="29"/>
      <c r="BE1236" s="29"/>
      <c r="BF1236" s="29"/>
      <c r="BG1236" s="29"/>
      <c r="BH1236" s="29"/>
      <c r="BI1236" s="29"/>
      <c r="BJ1236" s="29"/>
      <c r="BK1236" s="29"/>
      <c r="BL1236" s="29"/>
      <c r="BM1236" s="29"/>
      <c r="BN1236" s="29"/>
      <c r="BO1236" s="29"/>
      <c r="BP1236" s="29"/>
      <c r="BQ1236" s="29"/>
      <c r="BR1236" s="29"/>
      <c r="BS1236" s="29"/>
      <c r="BT1236" s="29"/>
      <c r="BU1236" s="29"/>
    </row>
    <row r="1237" spans="34:73" x14ac:dyDescent="0.25"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X1237" s="29"/>
      <c r="AY1237" s="29"/>
      <c r="AZ1237" s="29"/>
      <c r="BA1237" s="29"/>
      <c r="BB1237" s="29"/>
      <c r="BC1237" s="29"/>
      <c r="BD1237" s="29"/>
      <c r="BE1237" s="29"/>
      <c r="BF1237" s="29"/>
      <c r="BG1237" s="29"/>
      <c r="BH1237" s="29"/>
      <c r="BI1237" s="29"/>
      <c r="BJ1237" s="29"/>
      <c r="BK1237" s="29"/>
      <c r="BL1237" s="29"/>
      <c r="BM1237" s="29"/>
      <c r="BN1237" s="29"/>
      <c r="BO1237" s="29"/>
      <c r="BP1237" s="29"/>
      <c r="BQ1237" s="29"/>
      <c r="BR1237" s="29"/>
      <c r="BS1237" s="29"/>
      <c r="BT1237" s="29"/>
      <c r="BU1237" s="29"/>
    </row>
    <row r="1238" spans="34:73" x14ac:dyDescent="0.25"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  <c r="AY1238" s="29"/>
      <c r="AZ1238" s="29"/>
      <c r="BA1238" s="29"/>
      <c r="BB1238" s="29"/>
      <c r="BC1238" s="29"/>
      <c r="BD1238" s="29"/>
      <c r="BE1238" s="29"/>
      <c r="BF1238" s="29"/>
      <c r="BG1238" s="29"/>
      <c r="BH1238" s="29"/>
      <c r="BI1238" s="29"/>
      <c r="BJ1238" s="29"/>
      <c r="BK1238" s="29"/>
      <c r="BL1238" s="29"/>
      <c r="BM1238" s="29"/>
      <c r="BN1238" s="29"/>
      <c r="BO1238" s="29"/>
      <c r="BP1238" s="29"/>
      <c r="BQ1238" s="29"/>
      <c r="BR1238" s="29"/>
      <c r="BS1238" s="29"/>
      <c r="BT1238" s="29"/>
      <c r="BU1238" s="29"/>
    </row>
    <row r="1239" spans="34:73" x14ac:dyDescent="0.25"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  <c r="AY1239" s="29"/>
      <c r="AZ1239" s="29"/>
      <c r="BA1239" s="29"/>
      <c r="BB1239" s="29"/>
      <c r="BC1239" s="29"/>
      <c r="BD1239" s="29"/>
      <c r="BE1239" s="29"/>
      <c r="BF1239" s="29"/>
      <c r="BG1239" s="29"/>
      <c r="BH1239" s="29"/>
      <c r="BI1239" s="29"/>
      <c r="BJ1239" s="29"/>
      <c r="BK1239" s="29"/>
      <c r="BL1239" s="29"/>
      <c r="BM1239" s="29"/>
      <c r="BN1239" s="29"/>
      <c r="BO1239" s="29"/>
      <c r="BP1239" s="29"/>
      <c r="BQ1239" s="29"/>
      <c r="BR1239" s="29"/>
      <c r="BS1239" s="29"/>
      <c r="BT1239" s="29"/>
      <c r="BU1239" s="29"/>
    </row>
    <row r="1240" spans="34:73" x14ac:dyDescent="0.25"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X1240" s="29"/>
      <c r="AY1240" s="29"/>
      <c r="AZ1240" s="29"/>
      <c r="BA1240" s="29"/>
      <c r="BB1240" s="29"/>
      <c r="BC1240" s="29"/>
      <c r="BD1240" s="29"/>
      <c r="BE1240" s="29"/>
      <c r="BF1240" s="29"/>
      <c r="BG1240" s="29"/>
      <c r="BH1240" s="29"/>
      <c r="BI1240" s="29"/>
      <c r="BJ1240" s="29"/>
      <c r="BK1240" s="29"/>
      <c r="BL1240" s="29"/>
      <c r="BM1240" s="29"/>
      <c r="BN1240" s="29"/>
      <c r="BO1240" s="29"/>
      <c r="BP1240" s="29"/>
      <c r="BQ1240" s="29"/>
      <c r="BR1240" s="29"/>
      <c r="BS1240" s="29"/>
      <c r="BT1240" s="29"/>
      <c r="BU1240" s="29"/>
    </row>
    <row r="1241" spans="34:73" x14ac:dyDescent="0.25"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  <c r="AY1241" s="29"/>
      <c r="AZ1241" s="29"/>
      <c r="BA1241" s="29"/>
      <c r="BB1241" s="29"/>
      <c r="BC1241" s="29"/>
      <c r="BD1241" s="29"/>
      <c r="BE1241" s="29"/>
      <c r="BF1241" s="29"/>
      <c r="BG1241" s="29"/>
      <c r="BH1241" s="29"/>
      <c r="BI1241" s="29"/>
      <c r="BJ1241" s="29"/>
      <c r="BK1241" s="29"/>
      <c r="BL1241" s="29"/>
      <c r="BM1241" s="29"/>
      <c r="BN1241" s="29"/>
      <c r="BO1241" s="29"/>
      <c r="BP1241" s="29"/>
      <c r="BQ1241" s="29"/>
      <c r="BR1241" s="29"/>
      <c r="BS1241" s="29"/>
      <c r="BT1241" s="29"/>
      <c r="BU1241" s="29"/>
    </row>
    <row r="1242" spans="34:73" x14ac:dyDescent="0.25"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X1242" s="29"/>
      <c r="AY1242" s="29"/>
      <c r="AZ1242" s="29"/>
      <c r="BA1242" s="29"/>
      <c r="BB1242" s="29"/>
      <c r="BC1242" s="29"/>
      <c r="BD1242" s="29"/>
      <c r="BE1242" s="29"/>
      <c r="BF1242" s="29"/>
      <c r="BG1242" s="29"/>
      <c r="BH1242" s="29"/>
      <c r="BI1242" s="29"/>
      <c r="BJ1242" s="29"/>
      <c r="BK1242" s="29"/>
      <c r="BL1242" s="29"/>
      <c r="BM1242" s="29"/>
      <c r="BN1242" s="29"/>
      <c r="BO1242" s="29"/>
      <c r="BP1242" s="29"/>
      <c r="BQ1242" s="29"/>
      <c r="BR1242" s="29"/>
      <c r="BS1242" s="29"/>
      <c r="BT1242" s="29"/>
      <c r="BU1242" s="29"/>
    </row>
    <row r="1243" spans="34:73" x14ac:dyDescent="0.25"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X1243" s="29"/>
      <c r="AY1243" s="29"/>
      <c r="AZ1243" s="29"/>
      <c r="BA1243" s="29"/>
      <c r="BB1243" s="29"/>
      <c r="BC1243" s="29"/>
      <c r="BD1243" s="29"/>
      <c r="BE1243" s="29"/>
      <c r="BF1243" s="29"/>
      <c r="BG1243" s="29"/>
      <c r="BH1243" s="29"/>
      <c r="BI1243" s="29"/>
      <c r="BJ1243" s="29"/>
      <c r="BK1243" s="29"/>
      <c r="BL1243" s="29"/>
      <c r="BM1243" s="29"/>
      <c r="BN1243" s="29"/>
      <c r="BO1243" s="29"/>
      <c r="BP1243" s="29"/>
      <c r="BQ1243" s="29"/>
      <c r="BR1243" s="29"/>
      <c r="BS1243" s="29"/>
      <c r="BT1243" s="29"/>
      <c r="BU1243" s="29"/>
    </row>
    <row r="1244" spans="34:73" x14ac:dyDescent="0.25">
      <c r="AH1244" s="29"/>
      <c r="AI1244" s="29"/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  <c r="AT1244" s="29"/>
      <c r="AU1244" s="29"/>
      <c r="AV1244" s="29"/>
      <c r="AW1244" s="29"/>
      <c r="AX1244" s="29"/>
      <c r="AY1244" s="29"/>
      <c r="AZ1244" s="29"/>
      <c r="BA1244" s="29"/>
      <c r="BB1244" s="29"/>
      <c r="BC1244" s="29"/>
      <c r="BD1244" s="29"/>
      <c r="BE1244" s="29"/>
      <c r="BF1244" s="29"/>
      <c r="BG1244" s="29"/>
      <c r="BH1244" s="29"/>
      <c r="BI1244" s="29"/>
      <c r="BJ1244" s="29"/>
      <c r="BK1244" s="29"/>
      <c r="BL1244" s="29"/>
      <c r="BM1244" s="29"/>
      <c r="BN1244" s="29"/>
      <c r="BO1244" s="29"/>
      <c r="BP1244" s="29"/>
      <c r="BQ1244" s="29"/>
      <c r="BR1244" s="29"/>
      <c r="BS1244" s="29"/>
      <c r="BT1244" s="29"/>
      <c r="BU1244" s="29"/>
    </row>
    <row r="1245" spans="34:73" x14ac:dyDescent="0.25">
      <c r="AH1245" s="29"/>
      <c r="AI1245" s="29"/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  <c r="AT1245" s="29"/>
      <c r="AU1245" s="29"/>
      <c r="AV1245" s="29"/>
      <c r="AW1245" s="29"/>
      <c r="AX1245" s="29"/>
      <c r="AY1245" s="29"/>
      <c r="AZ1245" s="29"/>
      <c r="BA1245" s="29"/>
      <c r="BB1245" s="29"/>
      <c r="BC1245" s="29"/>
      <c r="BD1245" s="29"/>
      <c r="BE1245" s="29"/>
      <c r="BF1245" s="29"/>
      <c r="BG1245" s="29"/>
      <c r="BH1245" s="29"/>
      <c r="BI1245" s="29"/>
      <c r="BJ1245" s="29"/>
      <c r="BK1245" s="29"/>
      <c r="BL1245" s="29"/>
      <c r="BM1245" s="29"/>
      <c r="BN1245" s="29"/>
      <c r="BO1245" s="29"/>
      <c r="BP1245" s="29"/>
      <c r="BQ1245" s="29"/>
      <c r="BR1245" s="29"/>
      <c r="BS1245" s="29"/>
      <c r="BT1245" s="29"/>
      <c r="BU1245" s="29"/>
    </row>
    <row r="1246" spans="34:73" x14ac:dyDescent="0.25"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  <c r="AY1246" s="29"/>
      <c r="AZ1246" s="29"/>
      <c r="BA1246" s="29"/>
      <c r="BB1246" s="29"/>
      <c r="BC1246" s="29"/>
      <c r="BD1246" s="29"/>
      <c r="BE1246" s="29"/>
      <c r="BF1246" s="29"/>
      <c r="BG1246" s="29"/>
      <c r="BH1246" s="29"/>
      <c r="BI1246" s="29"/>
      <c r="BJ1246" s="29"/>
      <c r="BK1246" s="29"/>
      <c r="BL1246" s="29"/>
      <c r="BM1246" s="29"/>
      <c r="BN1246" s="29"/>
      <c r="BO1246" s="29"/>
      <c r="BP1246" s="29"/>
      <c r="BQ1246" s="29"/>
      <c r="BR1246" s="29"/>
      <c r="BS1246" s="29"/>
      <c r="BT1246" s="29"/>
      <c r="BU1246" s="29"/>
    </row>
    <row r="1247" spans="34:73" x14ac:dyDescent="0.25"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29"/>
      <c r="AY1247" s="29"/>
      <c r="AZ1247" s="29"/>
      <c r="BA1247" s="29"/>
      <c r="BB1247" s="29"/>
      <c r="BC1247" s="29"/>
      <c r="BD1247" s="29"/>
      <c r="BE1247" s="29"/>
      <c r="BF1247" s="29"/>
      <c r="BG1247" s="29"/>
      <c r="BH1247" s="29"/>
      <c r="BI1247" s="29"/>
      <c r="BJ1247" s="29"/>
      <c r="BK1247" s="29"/>
      <c r="BL1247" s="29"/>
      <c r="BM1247" s="29"/>
      <c r="BN1247" s="29"/>
      <c r="BO1247" s="29"/>
      <c r="BP1247" s="29"/>
      <c r="BQ1247" s="29"/>
      <c r="BR1247" s="29"/>
      <c r="BS1247" s="29"/>
      <c r="BT1247" s="29"/>
      <c r="BU1247" s="29"/>
    </row>
    <row r="1248" spans="34:73" x14ac:dyDescent="0.25"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  <c r="AY1248" s="29"/>
      <c r="AZ1248" s="29"/>
      <c r="BA1248" s="29"/>
      <c r="BB1248" s="29"/>
      <c r="BC1248" s="29"/>
      <c r="BD1248" s="29"/>
      <c r="BE1248" s="29"/>
      <c r="BF1248" s="29"/>
      <c r="BG1248" s="29"/>
      <c r="BH1248" s="29"/>
      <c r="BI1248" s="29"/>
      <c r="BJ1248" s="29"/>
      <c r="BK1248" s="29"/>
      <c r="BL1248" s="29"/>
      <c r="BM1248" s="29"/>
      <c r="BN1248" s="29"/>
      <c r="BO1248" s="29"/>
      <c r="BP1248" s="29"/>
      <c r="BQ1248" s="29"/>
      <c r="BR1248" s="29"/>
      <c r="BS1248" s="29"/>
      <c r="BT1248" s="29"/>
      <c r="BU1248" s="29"/>
    </row>
    <row r="1249" spans="34:73" x14ac:dyDescent="0.25"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X1249" s="29"/>
      <c r="AY1249" s="29"/>
      <c r="AZ1249" s="29"/>
      <c r="BA1249" s="29"/>
      <c r="BB1249" s="29"/>
      <c r="BC1249" s="29"/>
      <c r="BD1249" s="29"/>
      <c r="BE1249" s="29"/>
      <c r="BF1249" s="29"/>
      <c r="BG1249" s="29"/>
      <c r="BH1249" s="29"/>
      <c r="BI1249" s="29"/>
      <c r="BJ1249" s="29"/>
      <c r="BK1249" s="29"/>
      <c r="BL1249" s="29"/>
      <c r="BM1249" s="29"/>
      <c r="BN1249" s="29"/>
      <c r="BO1249" s="29"/>
      <c r="BP1249" s="29"/>
      <c r="BQ1249" s="29"/>
      <c r="BR1249" s="29"/>
      <c r="BS1249" s="29"/>
      <c r="BT1249" s="29"/>
      <c r="BU1249" s="29"/>
    </row>
    <row r="1250" spans="34:73" x14ac:dyDescent="0.25">
      <c r="AH1250" s="29"/>
      <c r="AI1250" s="29"/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  <c r="AT1250" s="29"/>
      <c r="AU1250" s="29"/>
      <c r="AV1250" s="29"/>
      <c r="AW1250" s="29"/>
      <c r="AX1250" s="29"/>
      <c r="AY1250" s="29"/>
      <c r="AZ1250" s="29"/>
      <c r="BA1250" s="29"/>
      <c r="BB1250" s="29"/>
      <c r="BC1250" s="29"/>
      <c r="BD1250" s="29"/>
      <c r="BE1250" s="29"/>
      <c r="BF1250" s="29"/>
      <c r="BG1250" s="29"/>
      <c r="BH1250" s="29"/>
      <c r="BI1250" s="29"/>
      <c r="BJ1250" s="29"/>
      <c r="BK1250" s="29"/>
      <c r="BL1250" s="29"/>
      <c r="BM1250" s="29"/>
      <c r="BN1250" s="29"/>
      <c r="BO1250" s="29"/>
      <c r="BP1250" s="29"/>
      <c r="BQ1250" s="29"/>
      <c r="BR1250" s="29"/>
      <c r="BS1250" s="29"/>
      <c r="BT1250" s="29"/>
      <c r="BU1250" s="29"/>
    </row>
    <row r="1251" spans="34:73" x14ac:dyDescent="0.25"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X1251" s="29"/>
      <c r="AY1251" s="29"/>
      <c r="AZ1251" s="29"/>
      <c r="BA1251" s="29"/>
      <c r="BB1251" s="29"/>
      <c r="BC1251" s="29"/>
      <c r="BD1251" s="29"/>
      <c r="BE1251" s="29"/>
      <c r="BF1251" s="29"/>
      <c r="BG1251" s="29"/>
      <c r="BH1251" s="29"/>
      <c r="BI1251" s="29"/>
      <c r="BJ1251" s="29"/>
      <c r="BK1251" s="29"/>
      <c r="BL1251" s="29"/>
      <c r="BM1251" s="29"/>
      <c r="BN1251" s="29"/>
      <c r="BO1251" s="29"/>
      <c r="BP1251" s="29"/>
      <c r="BQ1251" s="29"/>
      <c r="BR1251" s="29"/>
      <c r="BS1251" s="29"/>
      <c r="BT1251" s="29"/>
      <c r="BU1251" s="29"/>
    </row>
    <row r="1252" spans="34:73" x14ac:dyDescent="0.25"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X1252" s="29"/>
      <c r="AY1252" s="29"/>
      <c r="AZ1252" s="29"/>
      <c r="BA1252" s="29"/>
      <c r="BB1252" s="29"/>
      <c r="BC1252" s="29"/>
      <c r="BD1252" s="29"/>
      <c r="BE1252" s="29"/>
      <c r="BF1252" s="29"/>
      <c r="BG1252" s="29"/>
      <c r="BH1252" s="29"/>
      <c r="BI1252" s="29"/>
      <c r="BJ1252" s="29"/>
      <c r="BK1252" s="29"/>
      <c r="BL1252" s="29"/>
      <c r="BM1252" s="29"/>
      <c r="BN1252" s="29"/>
      <c r="BO1252" s="29"/>
      <c r="BP1252" s="29"/>
      <c r="BQ1252" s="29"/>
      <c r="BR1252" s="29"/>
      <c r="BS1252" s="29"/>
      <c r="BT1252" s="29"/>
      <c r="BU1252" s="29"/>
    </row>
    <row r="1253" spans="34:73" x14ac:dyDescent="0.25">
      <c r="AH1253" s="29"/>
      <c r="AI1253" s="29"/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  <c r="AT1253" s="29"/>
      <c r="AU1253" s="29"/>
      <c r="AV1253" s="29"/>
      <c r="AW1253" s="29"/>
      <c r="AX1253" s="29"/>
      <c r="AY1253" s="29"/>
      <c r="AZ1253" s="29"/>
      <c r="BA1253" s="29"/>
      <c r="BB1253" s="29"/>
      <c r="BC1253" s="29"/>
      <c r="BD1253" s="29"/>
      <c r="BE1253" s="29"/>
      <c r="BF1253" s="29"/>
      <c r="BG1253" s="29"/>
      <c r="BH1253" s="29"/>
      <c r="BI1253" s="29"/>
      <c r="BJ1253" s="29"/>
      <c r="BK1253" s="29"/>
      <c r="BL1253" s="29"/>
      <c r="BM1253" s="29"/>
      <c r="BN1253" s="29"/>
      <c r="BO1253" s="29"/>
      <c r="BP1253" s="29"/>
      <c r="BQ1253" s="29"/>
      <c r="BR1253" s="29"/>
      <c r="BS1253" s="29"/>
      <c r="BT1253" s="29"/>
      <c r="BU1253" s="29"/>
    </row>
    <row r="1254" spans="34:73" x14ac:dyDescent="0.25"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X1254" s="29"/>
      <c r="AY1254" s="29"/>
      <c r="AZ1254" s="29"/>
      <c r="BA1254" s="29"/>
      <c r="BB1254" s="29"/>
      <c r="BC1254" s="29"/>
      <c r="BD1254" s="29"/>
      <c r="BE1254" s="29"/>
      <c r="BF1254" s="29"/>
      <c r="BG1254" s="29"/>
      <c r="BH1254" s="29"/>
      <c r="BI1254" s="29"/>
      <c r="BJ1254" s="29"/>
      <c r="BK1254" s="29"/>
      <c r="BL1254" s="29"/>
      <c r="BM1254" s="29"/>
      <c r="BN1254" s="29"/>
      <c r="BO1254" s="29"/>
      <c r="BP1254" s="29"/>
      <c r="BQ1254" s="29"/>
      <c r="BR1254" s="29"/>
      <c r="BS1254" s="29"/>
      <c r="BT1254" s="29"/>
      <c r="BU1254" s="29"/>
    </row>
    <row r="1255" spans="34:73" x14ac:dyDescent="0.25">
      <c r="AH1255" s="29"/>
      <c r="AI1255" s="29"/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  <c r="AT1255" s="29"/>
      <c r="AU1255" s="29"/>
      <c r="AV1255" s="29"/>
      <c r="AW1255" s="29"/>
      <c r="AX1255" s="29"/>
      <c r="AY1255" s="29"/>
      <c r="AZ1255" s="29"/>
      <c r="BA1255" s="29"/>
      <c r="BB1255" s="29"/>
      <c r="BC1255" s="29"/>
      <c r="BD1255" s="29"/>
      <c r="BE1255" s="29"/>
      <c r="BF1255" s="29"/>
      <c r="BG1255" s="29"/>
      <c r="BH1255" s="29"/>
      <c r="BI1255" s="29"/>
      <c r="BJ1255" s="29"/>
      <c r="BK1255" s="29"/>
      <c r="BL1255" s="29"/>
      <c r="BM1255" s="29"/>
      <c r="BN1255" s="29"/>
      <c r="BO1255" s="29"/>
      <c r="BP1255" s="29"/>
      <c r="BQ1255" s="29"/>
      <c r="BR1255" s="29"/>
      <c r="BS1255" s="29"/>
      <c r="BT1255" s="29"/>
      <c r="BU1255" s="29"/>
    </row>
    <row r="1256" spans="34:73" x14ac:dyDescent="0.25">
      <c r="AH1256" s="29"/>
      <c r="AI1256" s="29"/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  <c r="AT1256" s="29"/>
      <c r="AU1256" s="29"/>
      <c r="AV1256" s="29"/>
      <c r="AW1256" s="29"/>
      <c r="AX1256" s="29"/>
      <c r="AY1256" s="29"/>
      <c r="AZ1256" s="29"/>
      <c r="BA1256" s="29"/>
      <c r="BB1256" s="29"/>
      <c r="BC1256" s="29"/>
      <c r="BD1256" s="29"/>
      <c r="BE1256" s="29"/>
      <c r="BF1256" s="29"/>
      <c r="BG1256" s="29"/>
      <c r="BH1256" s="29"/>
      <c r="BI1256" s="29"/>
      <c r="BJ1256" s="29"/>
      <c r="BK1256" s="29"/>
      <c r="BL1256" s="29"/>
      <c r="BM1256" s="29"/>
      <c r="BN1256" s="29"/>
      <c r="BO1256" s="29"/>
      <c r="BP1256" s="29"/>
      <c r="BQ1256" s="29"/>
      <c r="BR1256" s="29"/>
      <c r="BS1256" s="29"/>
      <c r="BT1256" s="29"/>
      <c r="BU1256" s="29"/>
    </row>
    <row r="1257" spans="34:73" x14ac:dyDescent="0.25"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X1257" s="29"/>
      <c r="AY1257" s="29"/>
      <c r="AZ1257" s="29"/>
      <c r="BA1257" s="29"/>
      <c r="BB1257" s="29"/>
      <c r="BC1257" s="29"/>
      <c r="BD1257" s="29"/>
      <c r="BE1257" s="29"/>
      <c r="BF1257" s="29"/>
      <c r="BG1257" s="29"/>
      <c r="BH1257" s="29"/>
      <c r="BI1257" s="29"/>
      <c r="BJ1257" s="29"/>
      <c r="BK1257" s="29"/>
      <c r="BL1257" s="29"/>
      <c r="BM1257" s="29"/>
      <c r="BN1257" s="29"/>
      <c r="BO1257" s="29"/>
      <c r="BP1257" s="29"/>
      <c r="BQ1257" s="29"/>
      <c r="BR1257" s="29"/>
      <c r="BS1257" s="29"/>
      <c r="BT1257" s="29"/>
      <c r="BU1257" s="29"/>
    </row>
    <row r="1258" spans="34:73" x14ac:dyDescent="0.25">
      <c r="AH1258" s="29"/>
      <c r="AI1258" s="29"/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  <c r="AT1258" s="29"/>
      <c r="AU1258" s="29"/>
      <c r="AV1258" s="29"/>
      <c r="AW1258" s="29"/>
      <c r="AX1258" s="29"/>
      <c r="AY1258" s="29"/>
      <c r="AZ1258" s="29"/>
      <c r="BA1258" s="29"/>
      <c r="BB1258" s="29"/>
      <c r="BC1258" s="29"/>
      <c r="BD1258" s="29"/>
      <c r="BE1258" s="29"/>
      <c r="BF1258" s="29"/>
      <c r="BG1258" s="29"/>
      <c r="BH1258" s="29"/>
      <c r="BI1258" s="29"/>
      <c r="BJ1258" s="29"/>
      <c r="BK1258" s="29"/>
      <c r="BL1258" s="29"/>
      <c r="BM1258" s="29"/>
      <c r="BN1258" s="29"/>
      <c r="BO1258" s="29"/>
      <c r="BP1258" s="29"/>
      <c r="BQ1258" s="29"/>
      <c r="BR1258" s="29"/>
      <c r="BS1258" s="29"/>
      <c r="BT1258" s="29"/>
      <c r="BU1258" s="29"/>
    </row>
    <row r="1259" spans="34:73" x14ac:dyDescent="0.25"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  <c r="AY1259" s="29"/>
      <c r="AZ1259" s="29"/>
      <c r="BA1259" s="29"/>
      <c r="BB1259" s="29"/>
      <c r="BC1259" s="29"/>
      <c r="BD1259" s="29"/>
      <c r="BE1259" s="29"/>
      <c r="BF1259" s="29"/>
      <c r="BG1259" s="29"/>
      <c r="BH1259" s="29"/>
      <c r="BI1259" s="29"/>
      <c r="BJ1259" s="29"/>
      <c r="BK1259" s="29"/>
      <c r="BL1259" s="29"/>
      <c r="BM1259" s="29"/>
      <c r="BN1259" s="29"/>
      <c r="BO1259" s="29"/>
      <c r="BP1259" s="29"/>
      <c r="BQ1259" s="29"/>
      <c r="BR1259" s="29"/>
      <c r="BS1259" s="29"/>
      <c r="BT1259" s="29"/>
      <c r="BU1259" s="29"/>
    </row>
    <row r="1260" spans="34:73" x14ac:dyDescent="0.25"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X1260" s="29"/>
      <c r="AY1260" s="29"/>
      <c r="AZ1260" s="29"/>
      <c r="BA1260" s="29"/>
      <c r="BB1260" s="29"/>
      <c r="BC1260" s="29"/>
      <c r="BD1260" s="29"/>
      <c r="BE1260" s="29"/>
      <c r="BF1260" s="29"/>
      <c r="BG1260" s="29"/>
      <c r="BH1260" s="29"/>
      <c r="BI1260" s="29"/>
      <c r="BJ1260" s="29"/>
      <c r="BK1260" s="29"/>
      <c r="BL1260" s="29"/>
      <c r="BM1260" s="29"/>
      <c r="BN1260" s="29"/>
      <c r="BO1260" s="29"/>
      <c r="BP1260" s="29"/>
      <c r="BQ1260" s="29"/>
      <c r="BR1260" s="29"/>
      <c r="BS1260" s="29"/>
      <c r="BT1260" s="29"/>
      <c r="BU1260" s="29"/>
    </row>
    <row r="1261" spans="34:73" x14ac:dyDescent="0.25"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X1261" s="29"/>
      <c r="AY1261" s="29"/>
      <c r="AZ1261" s="29"/>
      <c r="BA1261" s="29"/>
      <c r="BB1261" s="29"/>
      <c r="BC1261" s="29"/>
      <c r="BD1261" s="29"/>
      <c r="BE1261" s="29"/>
      <c r="BF1261" s="29"/>
      <c r="BG1261" s="29"/>
      <c r="BH1261" s="29"/>
      <c r="BI1261" s="29"/>
      <c r="BJ1261" s="29"/>
      <c r="BK1261" s="29"/>
      <c r="BL1261" s="29"/>
      <c r="BM1261" s="29"/>
      <c r="BN1261" s="29"/>
      <c r="BO1261" s="29"/>
      <c r="BP1261" s="29"/>
      <c r="BQ1261" s="29"/>
      <c r="BR1261" s="29"/>
      <c r="BS1261" s="29"/>
      <c r="BT1261" s="29"/>
      <c r="BU1261" s="29"/>
    </row>
    <row r="1262" spans="34:73" x14ac:dyDescent="0.25">
      <c r="AH1262" s="29"/>
      <c r="AI1262" s="29"/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  <c r="AT1262" s="29"/>
      <c r="AU1262" s="29"/>
      <c r="AV1262" s="29"/>
      <c r="AW1262" s="29"/>
      <c r="AX1262" s="29"/>
      <c r="AY1262" s="29"/>
      <c r="AZ1262" s="29"/>
      <c r="BA1262" s="29"/>
      <c r="BB1262" s="29"/>
      <c r="BC1262" s="29"/>
      <c r="BD1262" s="29"/>
      <c r="BE1262" s="29"/>
      <c r="BF1262" s="29"/>
      <c r="BG1262" s="29"/>
      <c r="BH1262" s="29"/>
      <c r="BI1262" s="29"/>
      <c r="BJ1262" s="29"/>
      <c r="BK1262" s="29"/>
      <c r="BL1262" s="29"/>
      <c r="BM1262" s="29"/>
      <c r="BN1262" s="29"/>
      <c r="BO1262" s="29"/>
      <c r="BP1262" s="29"/>
      <c r="BQ1262" s="29"/>
      <c r="BR1262" s="29"/>
      <c r="BS1262" s="29"/>
      <c r="BT1262" s="29"/>
      <c r="BU1262" s="29"/>
    </row>
    <row r="1263" spans="34:73" x14ac:dyDescent="0.25">
      <c r="AH1263" s="29"/>
      <c r="AI1263" s="29"/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  <c r="AT1263" s="29"/>
      <c r="AU1263" s="29"/>
      <c r="AV1263" s="29"/>
      <c r="AW1263" s="29"/>
      <c r="AX1263" s="29"/>
      <c r="AY1263" s="29"/>
      <c r="AZ1263" s="29"/>
      <c r="BA1263" s="29"/>
      <c r="BB1263" s="29"/>
      <c r="BC1263" s="29"/>
      <c r="BD1263" s="29"/>
      <c r="BE1263" s="29"/>
      <c r="BF1263" s="29"/>
      <c r="BG1263" s="29"/>
      <c r="BH1263" s="29"/>
      <c r="BI1263" s="29"/>
      <c r="BJ1263" s="29"/>
      <c r="BK1263" s="29"/>
      <c r="BL1263" s="29"/>
      <c r="BM1263" s="29"/>
      <c r="BN1263" s="29"/>
      <c r="BO1263" s="29"/>
      <c r="BP1263" s="29"/>
      <c r="BQ1263" s="29"/>
      <c r="BR1263" s="29"/>
      <c r="BS1263" s="29"/>
      <c r="BT1263" s="29"/>
      <c r="BU1263" s="29"/>
    </row>
    <row r="1264" spans="34:73" x14ac:dyDescent="0.25"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X1264" s="29"/>
      <c r="AY1264" s="29"/>
      <c r="AZ1264" s="29"/>
      <c r="BA1264" s="29"/>
      <c r="BB1264" s="29"/>
      <c r="BC1264" s="29"/>
      <c r="BD1264" s="29"/>
      <c r="BE1264" s="29"/>
      <c r="BF1264" s="29"/>
      <c r="BG1264" s="29"/>
      <c r="BH1264" s="29"/>
      <c r="BI1264" s="29"/>
      <c r="BJ1264" s="29"/>
      <c r="BK1264" s="29"/>
      <c r="BL1264" s="29"/>
      <c r="BM1264" s="29"/>
      <c r="BN1264" s="29"/>
      <c r="BO1264" s="29"/>
      <c r="BP1264" s="29"/>
      <c r="BQ1264" s="29"/>
      <c r="BR1264" s="29"/>
      <c r="BS1264" s="29"/>
      <c r="BT1264" s="29"/>
      <c r="BU1264" s="29"/>
    </row>
    <row r="1265" spans="34:73" x14ac:dyDescent="0.25">
      <c r="AH1265" s="29"/>
      <c r="AI1265" s="29"/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  <c r="AT1265" s="29"/>
      <c r="AU1265" s="29"/>
      <c r="AV1265" s="29"/>
      <c r="AW1265" s="29"/>
      <c r="AX1265" s="29"/>
      <c r="AY1265" s="29"/>
      <c r="AZ1265" s="29"/>
      <c r="BA1265" s="29"/>
      <c r="BB1265" s="29"/>
      <c r="BC1265" s="29"/>
      <c r="BD1265" s="29"/>
      <c r="BE1265" s="29"/>
      <c r="BF1265" s="29"/>
      <c r="BG1265" s="29"/>
      <c r="BH1265" s="29"/>
      <c r="BI1265" s="29"/>
      <c r="BJ1265" s="29"/>
      <c r="BK1265" s="29"/>
      <c r="BL1265" s="29"/>
      <c r="BM1265" s="29"/>
      <c r="BN1265" s="29"/>
      <c r="BO1265" s="29"/>
      <c r="BP1265" s="29"/>
      <c r="BQ1265" s="29"/>
      <c r="BR1265" s="29"/>
      <c r="BS1265" s="29"/>
      <c r="BT1265" s="29"/>
      <c r="BU1265" s="29"/>
    </row>
    <row r="1266" spans="34:73" x14ac:dyDescent="0.25"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  <c r="AY1266" s="29"/>
      <c r="AZ1266" s="29"/>
      <c r="BA1266" s="29"/>
      <c r="BB1266" s="29"/>
      <c r="BC1266" s="29"/>
      <c r="BD1266" s="29"/>
      <c r="BE1266" s="29"/>
      <c r="BF1266" s="29"/>
      <c r="BG1266" s="29"/>
      <c r="BH1266" s="29"/>
      <c r="BI1266" s="29"/>
      <c r="BJ1266" s="29"/>
      <c r="BK1266" s="29"/>
      <c r="BL1266" s="29"/>
      <c r="BM1266" s="29"/>
      <c r="BN1266" s="29"/>
      <c r="BO1266" s="29"/>
      <c r="BP1266" s="29"/>
      <c r="BQ1266" s="29"/>
      <c r="BR1266" s="29"/>
      <c r="BS1266" s="29"/>
      <c r="BT1266" s="29"/>
      <c r="BU1266" s="29"/>
    </row>
    <row r="1267" spans="34:73" x14ac:dyDescent="0.25">
      <c r="AH1267" s="29"/>
      <c r="AI1267" s="29"/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  <c r="AT1267" s="29"/>
      <c r="AU1267" s="29"/>
      <c r="AV1267" s="29"/>
      <c r="AW1267" s="29"/>
      <c r="AX1267" s="29"/>
      <c r="AY1267" s="29"/>
      <c r="AZ1267" s="29"/>
      <c r="BA1267" s="29"/>
      <c r="BB1267" s="29"/>
      <c r="BC1267" s="29"/>
      <c r="BD1267" s="29"/>
      <c r="BE1267" s="29"/>
      <c r="BF1267" s="29"/>
      <c r="BG1267" s="29"/>
      <c r="BH1267" s="29"/>
      <c r="BI1267" s="29"/>
      <c r="BJ1267" s="29"/>
      <c r="BK1267" s="29"/>
      <c r="BL1267" s="29"/>
      <c r="BM1267" s="29"/>
      <c r="BN1267" s="29"/>
      <c r="BO1267" s="29"/>
      <c r="BP1267" s="29"/>
      <c r="BQ1267" s="29"/>
      <c r="BR1267" s="29"/>
      <c r="BS1267" s="29"/>
      <c r="BT1267" s="29"/>
      <c r="BU1267" s="29"/>
    </row>
    <row r="1268" spans="34:73" x14ac:dyDescent="0.25"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X1268" s="29"/>
      <c r="AY1268" s="29"/>
      <c r="AZ1268" s="29"/>
      <c r="BA1268" s="29"/>
      <c r="BB1268" s="29"/>
      <c r="BC1268" s="29"/>
      <c r="BD1268" s="29"/>
      <c r="BE1268" s="29"/>
      <c r="BF1268" s="29"/>
      <c r="BG1268" s="29"/>
      <c r="BH1268" s="29"/>
      <c r="BI1268" s="29"/>
      <c r="BJ1268" s="29"/>
      <c r="BK1268" s="29"/>
      <c r="BL1268" s="29"/>
      <c r="BM1268" s="29"/>
      <c r="BN1268" s="29"/>
      <c r="BO1268" s="29"/>
      <c r="BP1268" s="29"/>
      <c r="BQ1268" s="29"/>
      <c r="BR1268" s="29"/>
      <c r="BS1268" s="29"/>
      <c r="BT1268" s="29"/>
      <c r="BU1268" s="29"/>
    </row>
    <row r="1269" spans="34:73" x14ac:dyDescent="0.25">
      <c r="AH1269" s="29"/>
      <c r="AI1269" s="29"/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  <c r="AT1269" s="29"/>
      <c r="AU1269" s="29"/>
      <c r="AV1269" s="29"/>
      <c r="AW1269" s="29"/>
      <c r="AX1269" s="29"/>
      <c r="AY1269" s="29"/>
      <c r="AZ1269" s="29"/>
      <c r="BA1269" s="29"/>
      <c r="BB1269" s="29"/>
      <c r="BC1269" s="29"/>
      <c r="BD1269" s="29"/>
      <c r="BE1269" s="29"/>
      <c r="BF1269" s="29"/>
      <c r="BG1269" s="29"/>
      <c r="BH1269" s="29"/>
      <c r="BI1269" s="29"/>
      <c r="BJ1269" s="29"/>
      <c r="BK1269" s="29"/>
      <c r="BL1269" s="29"/>
      <c r="BM1269" s="29"/>
      <c r="BN1269" s="29"/>
      <c r="BO1269" s="29"/>
      <c r="BP1269" s="29"/>
      <c r="BQ1269" s="29"/>
      <c r="BR1269" s="29"/>
      <c r="BS1269" s="29"/>
      <c r="BT1269" s="29"/>
      <c r="BU1269" s="29"/>
    </row>
    <row r="1270" spans="34:73" x14ac:dyDescent="0.25"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X1270" s="29"/>
      <c r="AY1270" s="29"/>
      <c r="AZ1270" s="29"/>
      <c r="BA1270" s="29"/>
      <c r="BB1270" s="29"/>
      <c r="BC1270" s="29"/>
      <c r="BD1270" s="29"/>
      <c r="BE1270" s="29"/>
      <c r="BF1270" s="29"/>
      <c r="BG1270" s="29"/>
      <c r="BH1270" s="29"/>
      <c r="BI1270" s="29"/>
      <c r="BJ1270" s="29"/>
      <c r="BK1270" s="29"/>
      <c r="BL1270" s="29"/>
      <c r="BM1270" s="29"/>
      <c r="BN1270" s="29"/>
      <c r="BO1270" s="29"/>
      <c r="BP1270" s="29"/>
      <c r="BQ1270" s="29"/>
      <c r="BR1270" s="29"/>
      <c r="BS1270" s="29"/>
      <c r="BT1270" s="29"/>
      <c r="BU1270" s="29"/>
    </row>
    <row r="1271" spans="34:73" x14ac:dyDescent="0.25">
      <c r="AH1271" s="29"/>
      <c r="AI1271" s="29"/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  <c r="AT1271" s="29"/>
      <c r="AU1271" s="29"/>
      <c r="AV1271" s="29"/>
      <c r="AW1271" s="29"/>
      <c r="AX1271" s="29"/>
      <c r="AY1271" s="29"/>
      <c r="AZ1271" s="29"/>
      <c r="BA1271" s="29"/>
      <c r="BB1271" s="29"/>
      <c r="BC1271" s="29"/>
      <c r="BD1271" s="29"/>
      <c r="BE1271" s="29"/>
      <c r="BF1271" s="29"/>
      <c r="BG1271" s="29"/>
      <c r="BH1271" s="29"/>
      <c r="BI1271" s="29"/>
      <c r="BJ1271" s="29"/>
      <c r="BK1271" s="29"/>
      <c r="BL1271" s="29"/>
      <c r="BM1271" s="29"/>
      <c r="BN1271" s="29"/>
      <c r="BO1271" s="29"/>
      <c r="BP1271" s="29"/>
      <c r="BQ1271" s="29"/>
      <c r="BR1271" s="29"/>
      <c r="BS1271" s="29"/>
      <c r="BT1271" s="29"/>
      <c r="BU1271" s="29"/>
    </row>
    <row r="1272" spans="34:73" x14ac:dyDescent="0.25"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X1272" s="29"/>
      <c r="AY1272" s="29"/>
      <c r="AZ1272" s="29"/>
      <c r="BA1272" s="29"/>
      <c r="BB1272" s="29"/>
      <c r="BC1272" s="29"/>
      <c r="BD1272" s="29"/>
      <c r="BE1272" s="29"/>
      <c r="BF1272" s="29"/>
      <c r="BG1272" s="29"/>
      <c r="BH1272" s="29"/>
      <c r="BI1272" s="29"/>
      <c r="BJ1272" s="29"/>
      <c r="BK1272" s="29"/>
      <c r="BL1272" s="29"/>
      <c r="BM1272" s="29"/>
      <c r="BN1272" s="29"/>
      <c r="BO1272" s="29"/>
      <c r="BP1272" s="29"/>
      <c r="BQ1272" s="29"/>
      <c r="BR1272" s="29"/>
      <c r="BS1272" s="29"/>
      <c r="BT1272" s="29"/>
      <c r="BU1272" s="29"/>
    </row>
    <row r="1273" spans="34:73" x14ac:dyDescent="0.25">
      <c r="AH1273" s="29"/>
      <c r="AI1273" s="29"/>
      <c r="AJ1273" s="29"/>
      <c r="AK1273" s="29"/>
      <c r="AL1273" s="29"/>
      <c r="AM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X1273" s="29"/>
      <c r="AY1273" s="29"/>
      <c r="AZ1273" s="29"/>
      <c r="BA1273" s="29"/>
      <c r="BB1273" s="29"/>
      <c r="BC1273" s="29"/>
      <c r="BD1273" s="29"/>
      <c r="BE1273" s="29"/>
      <c r="BF1273" s="29"/>
      <c r="BG1273" s="29"/>
      <c r="BH1273" s="29"/>
      <c r="BI1273" s="29"/>
      <c r="BJ1273" s="29"/>
      <c r="BK1273" s="29"/>
      <c r="BL1273" s="29"/>
      <c r="BM1273" s="29"/>
      <c r="BN1273" s="29"/>
      <c r="BO1273" s="29"/>
      <c r="BP1273" s="29"/>
      <c r="BQ1273" s="29"/>
      <c r="BR1273" s="29"/>
      <c r="BS1273" s="29"/>
      <c r="BT1273" s="29"/>
      <c r="BU1273" s="29"/>
    </row>
    <row r="1274" spans="34:73" x14ac:dyDescent="0.25">
      <c r="AH1274" s="29"/>
      <c r="AI1274" s="29"/>
      <c r="AJ1274" s="29"/>
      <c r="AK1274" s="29"/>
      <c r="AL1274" s="29"/>
      <c r="AM1274" s="29"/>
      <c r="AN1274" s="29"/>
      <c r="AO1274" s="29"/>
      <c r="AP1274" s="29"/>
      <c r="AQ1274" s="29"/>
      <c r="AR1274" s="29"/>
      <c r="AS1274" s="29"/>
      <c r="AT1274" s="29"/>
      <c r="AU1274" s="29"/>
      <c r="AV1274" s="29"/>
      <c r="AW1274" s="29"/>
      <c r="AX1274" s="29"/>
      <c r="AY1274" s="29"/>
      <c r="AZ1274" s="29"/>
      <c r="BA1274" s="29"/>
      <c r="BB1274" s="29"/>
      <c r="BC1274" s="29"/>
      <c r="BD1274" s="29"/>
      <c r="BE1274" s="29"/>
      <c r="BF1274" s="29"/>
      <c r="BG1274" s="29"/>
      <c r="BH1274" s="29"/>
      <c r="BI1274" s="29"/>
      <c r="BJ1274" s="29"/>
      <c r="BK1274" s="29"/>
      <c r="BL1274" s="29"/>
      <c r="BM1274" s="29"/>
      <c r="BN1274" s="29"/>
      <c r="BO1274" s="29"/>
      <c r="BP1274" s="29"/>
      <c r="BQ1274" s="29"/>
      <c r="BR1274" s="29"/>
      <c r="BS1274" s="29"/>
      <c r="BT1274" s="29"/>
      <c r="BU1274" s="29"/>
    </row>
    <row r="1275" spans="34:73" x14ac:dyDescent="0.25">
      <c r="AH1275" s="29"/>
      <c r="AI1275" s="29"/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  <c r="AY1275" s="29"/>
      <c r="AZ1275" s="29"/>
      <c r="BA1275" s="29"/>
      <c r="BB1275" s="29"/>
      <c r="BC1275" s="29"/>
      <c r="BD1275" s="29"/>
      <c r="BE1275" s="29"/>
      <c r="BF1275" s="29"/>
      <c r="BG1275" s="29"/>
      <c r="BH1275" s="29"/>
      <c r="BI1275" s="29"/>
      <c r="BJ1275" s="29"/>
      <c r="BK1275" s="29"/>
      <c r="BL1275" s="29"/>
      <c r="BM1275" s="29"/>
      <c r="BN1275" s="29"/>
      <c r="BO1275" s="29"/>
      <c r="BP1275" s="29"/>
      <c r="BQ1275" s="29"/>
      <c r="BR1275" s="29"/>
      <c r="BS1275" s="29"/>
      <c r="BT1275" s="29"/>
      <c r="BU1275" s="29"/>
    </row>
    <row r="1276" spans="34:73" x14ac:dyDescent="0.25">
      <c r="AH1276" s="29"/>
      <c r="AI1276" s="29"/>
      <c r="AJ1276" s="29"/>
      <c r="AK1276" s="29"/>
      <c r="AL1276" s="29"/>
      <c r="AM1276" s="29"/>
      <c r="AN1276" s="29"/>
      <c r="AO1276" s="29"/>
      <c r="AP1276" s="29"/>
      <c r="AQ1276" s="29"/>
      <c r="AR1276" s="29"/>
      <c r="AS1276" s="29"/>
      <c r="AT1276" s="29"/>
      <c r="AU1276" s="29"/>
      <c r="AV1276" s="29"/>
      <c r="AW1276" s="29"/>
      <c r="AX1276" s="29"/>
      <c r="AY1276" s="29"/>
      <c r="AZ1276" s="29"/>
      <c r="BA1276" s="29"/>
      <c r="BB1276" s="29"/>
      <c r="BC1276" s="29"/>
      <c r="BD1276" s="29"/>
      <c r="BE1276" s="29"/>
      <c r="BF1276" s="29"/>
      <c r="BG1276" s="29"/>
      <c r="BH1276" s="29"/>
      <c r="BI1276" s="29"/>
      <c r="BJ1276" s="29"/>
      <c r="BK1276" s="29"/>
      <c r="BL1276" s="29"/>
      <c r="BM1276" s="29"/>
      <c r="BN1276" s="29"/>
      <c r="BO1276" s="29"/>
      <c r="BP1276" s="29"/>
      <c r="BQ1276" s="29"/>
      <c r="BR1276" s="29"/>
      <c r="BS1276" s="29"/>
      <c r="BT1276" s="29"/>
      <c r="BU1276" s="29"/>
    </row>
    <row r="1277" spans="34:73" x14ac:dyDescent="0.25">
      <c r="AH1277" s="29"/>
      <c r="AI1277" s="29"/>
      <c r="AJ1277" s="29"/>
      <c r="AK1277" s="29"/>
      <c r="AL1277" s="29"/>
      <c r="AM1277" s="29"/>
      <c r="AN1277" s="29"/>
      <c r="AO1277" s="29"/>
      <c r="AP1277" s="29"/>
      <c r="AQ1277" s="29"/>
      <c r="AR1277" s="29"/>
      <c r="AS1277" s="29"/>
      <c r="AT1277" s="29"/>
      <c r="AU1277" s="29"/>
      <c r="AV1277" s="29"/>
      <c r="AW1277" s="29"/>
      <c r="AX1277" s="29"/>
      <c r="AY1277" s="29"/>
      <c r="AZ1277" s="29"/>
      <c r="BA1277" s="29"/>
      <c r="BB1277" s="29"/>
      <c r="BC1277" s="29"/>
      <c r="BD1277" s="29"/>
      <c r="BE1277" s="29"/>
      <c r="BF1277" s="29"/>
      <c r="BG1277" s="29"/>
      <c r="BH1277" s="29"/>
      <c r="BI1277" s="29"/>
      <c r="BJ1277" s="29"/>
      <c r="BK1277" s="29"/>
      <c r="BL1277" s="29"/>
      <c r="BM1277" s="29"/>
      <c r="BN1277" s="29"/>
      <c r="BO1277" s="29"/>
      <c r="BP1277" s="29"/>
      <c r="BQ1277" s="29"/>
      <c r="BR1277" s="29"/>
      <c r="BS1277" s="29"/>
      <c r="BT1277" s="29"/>
      <c r="BU1277" s="29"/>
    </row>
    <row r="1278" spans="34:73" x14ac:dyDescent="0.25">
      <c r="AH1278" s="29"/>
      <c r="AI1278" s="29"/>
      <c r="AJ1278" s="29"/>
      <c r="AK1278" s="29"/>
      <c r="AL1278" s="29"/>
      <c r="AM1278" s="29"/>
      <c r="AN1278" s="29"/>
      <c r="AO1278" s="29"/>
      <c r="AP1278" s="29"/>
      <c r="AQ1278" s="29"/>
      <c r="AR1278" s="29"/>
      <c r="AS1278" s="29"/>
      <c r="AT1278" s="29"/>
      <c r="AU1278" s="29"/>
      <c r="AV1278" s="29"/>
      <c r="AW1278" s="29"/>
      <c r="AX1278" s="29"/>
      <c r="AY1278" s="29"/>
      <c r="AZ1278" s="29"/>
      <c r="BA1278" s="29"/>
      <c r="BB1278" s="29"/>
      <c r="BC1278" s="29"/>
      <c r="BD1278" s="29"/>
      <c r="BE1278" s="29"/>
      <c r="BF1278" s="29"/>
      <c r="BG1278" s="29"/>
      <c r="BH1278" s="29"/>
      <c r="BI1278" s="29"/>
      <c r="BJ1278" s="29"/>
      <c r="BK1278" s="29"/>
      <c r="BL1278" s="29"/>
      <c r="BM1278" s="29"/>
      <c r="BN1278" s="29"/>
      <c r="BO1278" s="29"/>
      <c r="BP1278" s="29"/>
      <c r="BQ1278" s="29"/>
      <c r="BR1278" s="29"/>
      <c r="BS1278" s="29"/>
      <c r="BT1278" s="29"/>
      <c r="BU1278" s="29"/>
    </row>
    <row r="1279" spans="34:73" x14ac:dyDescent="0.25">
      <c r="AH1279" s="29"/>
      <c r="AI1279" s="29"/>
      <c r="AJ1279" s="29"/>
      <c r="AK1279" s="29"/>
      <c r="AL1279" s="29"/>
      <c r="AM1279" s="29"/>
      <c r="AN1279" s="29"/>
      <c r="AO1279" s="29"/>
      <c r="AP1279" s="29"/>
      <c r="AQ1279" s="29"/>
      <c r="AR1279" s="29"/>
      <c r="AS1279" s="29"/>
      <c r="AT1279" s="29"/>
      <c r="AU1279" s="29"/>
      <c r="AV1279" s="29"/>
      <c r="AW1279" s="29"/>
      <c r="AX1279" s="29"/>
      <c r="AY1279" s="29"/>
      <c r="AZ1279" s="29"/>
      <c r="BA1279" s="29"/>
      <c r="BB1279" s="29"/>
      <c r="BC1279" s="29"/>
      <c r="BD1279" s="29"/>
      <c r="BE1279" s="29"/>
      <c r="BF1279" s="29"/>
      <c r="BG1279" s="29"/>
      <c r="BH1279" s="29"/>
      <c r="BI1279" s="29"/>
      <c r="BJ1279" s="29"/>
      <c r="BK1279" s="29"/>
      <c r="BL1279" s="29"/>
      <c r="BM1279" s="29"/>
      <c r="BN1279" s="29"/>
      <c r="BO1279" s="29"/>
      <c r="BP1279" s="29"/>
      <c r="BQ1279" s="29"/>
      <c r="BR1279" s="29"/>
      <c r="BS1279" s="29"/>
      <c r="BT1279" s="29"/>
      <c r="BU1279" s="29"/>
    </row>
    <row r="1280" spans="34:73" x14ac:dyDescent="0.25">
      <c r="AH1280" s="29"/>
      <c r="AI1280" s="29"/>
      <c r="AJ1280" s="29"/>
      <c r="AK1280" s="29"/>
      <c r="AL1280" s="29"/>
      <c r="AM1280" s="29"/>
      <c r="AN1280" s="29"/>
      <c r="AO1280" s="29"/>
      <c r="AP1280" s="29"/>
      <c r="AQ1280" s="29"/>
      <c r="AR1280" s="29"/>
      <c r="AS1280" s="29"/>
      <c r="AT1280" s="29"/>
      <c r="AU1280" s="29"/>
      <c r="AV1280" s="29"/>
      <c r="AW1280" s="29"/>
      <c r="AX1280" s="29"/>
      <c r="AY1280" s="29"/>
      <c r="AZ1280" s="29"/>
      <c r="BA1280" s="29"/>
      <c r="BB1280" s="29"/>
      <c r="BC1280" s="29"/>
      <c r="BD1280" s="29"/>
      <c r="BE1280" s="29"/>
      <c r="BF1280" s="29"/>
      <c r="BG1280" s="29"/>
      <c r="BH1280" s="29"/>
      <c r="BI1280" s="29"/>
      <c r="BJ1280" s="29"/>
      <c r="BK1280" s="29"/>
      <c r="BL1280" s="29"/>
      <c r="BM1280" s="29"/>
      <c r="BN1280" s="29"/>
      <c r="BO1280" s="29"/>
      <c r="BP1280" s="29"/>
      <c r="BQ1280" s="29"/>
      <c r="BR1280" s="29"/>
      <c r="BS1280" s="29"/>
      <c r="BT1280" s="29"/>
      <c r="BU1280" s="29"/>
    </row>
    <row r="1281" spans="34:73" x14ac:dyDescent="0.25">
      <c r="AH1281" s="29"/>
      <c r="AI1281" s="29"/>
      <c r="AJ1281" s="29"/>
      <c r="AK1281" s="29"/>
      <c r="AL1281" s="29"/>
      <c r="AM1281" s="29"/>
      <c r="AN1281" s="29"/>
      <c r="AO1281" s="29"/>
      <c r="AP1281" s="29"/>
      <c r="AQ1281" s="29"/>
      <c r="AR1281" s="29"/>
      <c r="AS1281" s="29"/>
      <c r="AT1281" s="29"/>
      <c r="AU1281" s="29"/>
      <c r="AV1281" s="29"/>
      <c r="AW1281" s="29"/>
      <c r="AX1281" s="29"/>
      <c r="AY1281" s="29"/>
      <c r="AZ1281" s="29"/>
      <c r="BA1281" s="29"/>
      <c r="BB1281" s="29"/>
      <c r="BC1281" s="29"/>
      <c r="BD1281" s="29"/>
      <c r="BE1281" s="29"/>
      <c r="BF1281" s="29"/>
      <c r="BG1281" s="29"/>
      <c r="BH1281" s="29"/>
      <c r="BI1281" s="29"/>
      <c r="BJ1281" s="29"/>
      <c r="BK1281" s="29"/>
      <c r="BL1281" s="29"/>
      <c r="BM1281" s="29"/>
      <c r="BN1281" s="29"/>
      <c r="BO1281" s="29"/>
      <c r="BP1281" s="29"/>
      <c r="BQ1281" s="29"/>
      <c r="BR1281" s="29"/>
      <c r="BS1281" s="29"/>
      <c r="BT1281" s="29"/>
      <c r="BU1281" s="29"/>
    </row>
    <row r="1282" spans="34:73" x14ac:dyDescent="0.25">
      <c r="AH1282" s="29"/>
      <c r="AI1282" s="29"/>
      <c r="AJ1282" s="29"/>
      <c r="AK1282" s="29"/>
      <c r="AL1282" s="29"/>
      <c r="AM1282" s="29"/>
      <c r="AN1282" s="29"/>
      <c r="AO1282" s="29"/>
      <c r="AP1282" s="29"/>
      <c r="AQ1282" s="29"/>
      <c r="AR1282" s="29"/>
      <c r="AS1282" s="29"/>
      <c r="AT1282" s="29"/>
      <c r="AU1282" s="29"/>
      <c r="AV1282" s="29"/>
      <c r="AW1282" s="29"/>
      <c r="AX1282" s="29"/>
      <c r="AY1282" s="29"/>
      <c r="AZ1282" s="29"/>
      <c r="BA1282" s="29"/>
      <c r="BB1282" s="29"/>
      <c r="BC1282" s="29"/>
      <c r="BD1282" s="29"/>
      <c r="BE1282" s="29"/>
      <c r="BF1282" s="29"/>
      <c r="BG1282" s="29"/>
      <c r="BH1282" s="29"/>
      <c r="BI1282" s="29"/>
      <c r="BJ1282" s="29"/>
      <c r="BK1282" s="29"/>
      <c r="BL1282" s="29"/>
      <c r="BM1282" s="29"/>
      <c r="BN1282" s="29"/>
      <c r="BO1282" s="29"/>
      <c r="BP1282" s="29"/>
      <c r="BQ1282" s="29"/>
      <c r="BR1282" s="29"/>
      <c r="BS1282" s="29"/>
      <c r="BT1282" s="29"/>
      <c r="BU1282" s="29"/>
    </row>
    <row r="1283" spans="34:73" x14ac:dyDescent="0.25">
      <c r="AH1283" s="29"/>
      <c r="AI1283" s="29"/>
      <c r="AJ1283" s="29"/>
      <c r="AK1283" s="29"/>
      <c r="AL1283" s="29"/>
      <c r="AM1283" s="29"/>
      <c r="AN1283" s="29"/>
      <c r="AO1283" s="29"/>
      <c r="AP1283" s="29"/>
      <c r="AQ1283" s="29"/>
      <c r="AR1283" s="29"/>
      <c r="AS1283" s="29"/>
      <c r="AT1283" s="29"/>
      <c r="AU1283" s="29"/>
      <c r="AV1283" s="29"/>
      <c r="AW1283" s="29"/>
      <c r="AX1283" s="29"/>
      <c r="AY1283" s="29"/>
      <c r="AZ1283" s="29"/>
      <c r="BA1283" s="29"/>
      <c r="BB1283" s="29"/>
      <c r="BC1283" s="29"/>
      <c r="BD1283" s="29"/>
      <c r="BE1283" s="29"/>
      <c r="BF1283" s="29"/>
      <c r="BG1283" s="29"/>
      <c r="BH1283" s="29"/>
      <c r="BI1283" s="29"/>
      <c r="BJ1283" s="29"/>
      <c r="BK1283" s="29"/>
      <c r="BL1283" s="29"/>
      <c r="BM1283" s="29"/>
      <c r="BN1283" s="29"/>
      <c r="BO1283" s="29"/>
      <c r="BP1283" s="29"/>
      <c r="BQ1283" s="29"/>
      <c r="BR1283" s="29"/>
      <c r="BS1283" s="29"/>
      <c r="BT1283" s="29"/>
      <c r="BU1283" s="29"/>
    </row>
    <row r="1284" spans="34:73" x14ac:dyDescent="0.25">
      <c r="AH1284" s="29"/>
      <c r="AI1284" s="29"/>
      <c r="AJ1284" s="29"/>
      <c r="AK1284" s="29"/>
      <c r="AL1284" s="29"/>
      <c r="AM1284" s="29"/>
      <c r="AN1284" s="29"/>
      <c r="AO1284" s="29"/>
      <c r="AP1284" s="29"/>
      <c r="AQ1284" s="29"/>
      <c r="AR1284" s="29"/>
      <c r="AS1284" s="29"/>
      <c r="AT1284" s="29"/>
      <c r="AU1284" s="29"/>
      <c r="AV1284" s="29"/>
      <c r="AW1284" s="29"/>
      <c r="AX1284" s="29"/>
      <c r="AY1284" s="29"/>
      <c r="AZ1284" s="29"/>
      <c r="BA1284" s="29"/>
      <c r="BB1284" s="29"/>
      <c r="BC1284" s="29"/>
      <c r="BD1284" s="29"/>
      <c r="BE1284" s="29"/>
      <c r="BF1284" s="29"/>
      <c r="BG1284" s="29"/>
      <c r="BH1284" s="29"/>
      <c r="BI1284" s="29"/>
      <c r="BJ1284" s="29"/>
      <c r="BK1284" s="29"/>
      <c r="BL1284" s="29"/>
      <c r="BM1284" s="29"/>
      <c r="BN1284" s="29"/>
      <c r="BO1284" s="29"/>
      <c r="BP1284" s="29"/>
      <c r="BQ1284" s="29"/>
      <c r="BR1284" s="29"/>
      <c r="BS1284" s="29"/>
      <c r="BT1284" s="29"/>
      <c r="BU1284" s="29"/>
    </row>
    <row r="1285" spans="34:73" x14ac:dyDescent="0.25">
      <c r="AH1285" s="29"/>
      <c r="AI1285" s="29"/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  <c r="AT1285" s="29"/>
      <c r="AU1285" s="29"/>
      <c r="AV1285" s="29"/>
      <c r="AW1285" s="29"/>
      <c r="AX1285" s="29"/>
      <c r="AY1285" s="29"/>
      <c r="AZ1285" s="29"/>
      <c r="BA1285" s="29"/>
      <c r="BB1285" s="29"/>
      <c r="BC1285" s="29"/>
      <c r="BD1285" s="29"/>
      <c r="BE1285" s="29"/>
      <c r="BF1285" s="29"/>
      <c r="BG1285" s="29"/>
      <c r="BH1285" s="29"/>
      <c r="BI1285" s="29"/>
      <c r="BJ1285" s="29"/>
      <c r="BK1285" s="29"/>
      <c r="BL1285" s="29"/>
      <c r="BM1285" s="29"/>
      <c r="BN1285" s="29"/>
      <c r="BO1285" s="29"/>
      <c r="BP1285" s="29"/>
      <c r="BQ1285" s="29"/>
      <c r="BR1285" s="29"/>
      <c r="BS1285" s="29"/>
      <c r="BT1285" s="29"/>
      <c r="BU1285" s="29"/>
    </row>
    <row r="1286" spans="34:73" x14ac:dyDescent="0.25">
      <c r="AH1286" s="29"/>
      <c r="AI1286" s="29"/>
      <c r="AJ1286" s="29"/>
      <c r="AK1286" s="29"/>
      <c r="AL1286" s="29"/>
      <c r="AM1286" s="29"/>
      <c r="AN1286" s="29"/>
      <c r="AO1286" s="29"/>
      <c r="AP1286" s="29"/>
      <c r="AQ1286" s="29"/>
      <c r="AR1286" s="29"/>
      <c r="AS1286" s="29"/>
      <c r="AT1286" s="29"/>
      <c r="AU1286" s="29"/>
      <c r="AV1286" s="29"/>
      <c r="AW1286" s="29"/>
      <c r="AX1286" s="29"/>
      <c r="AY1286" s="29"/>
      <c r="AZ1286" s="29"/>
      <c r="BA1286" s="29"/>
      <c r="BB1286" s="29"/>
      <c r="BC1286" s="29"/>
      <c r="BD1286" s="29"/>
      <c r="BE1286" s="29"/>
      <c r="BF1286" s="29"/>
      <c r="BG1286" s="29"/>
      <c r="BH1286" s="29"/>
      <c r="BI1286" s="29"/>
      <c r="BJ1286" s="29"/>
      <c r="BK1286" s="29"/>
      <c r="BL1286" s="29"/>
      <c r="BM1286" s="29"/>
      <c r="BN1286" s="29"/>
      <c r="BO1286" s="29"/>
      <c r="BP1286" s="29"/>
      <c r="BQ1286" s="29"/>
      <c r="BR1286" s="29"/>
      <c r="BS1286" s="29"/>
      <c r="BT1286" s="29"/>
      <c r="BU1286" s="29"/>
    </row>
    <row r="1287" spans="34:73" x14ac:dyDescent="0.25">
      <c r="AH1287" s="29"/>
      <c r="AI1287" s="29"/>
      <c r="AJ1287" s="29"/>
      <c r="AK1287" s="29"/>
      <c r="AL1287" s="29"/>
      <c r="AM1287" s="29"/>
      <c r="AN1287" s="29"/>
      <c r="AO1287" s="29"/>
      <c r="AP1287" s="29"/>
      <c r="AQ1287" s="29"/>
      <c r="AR1287" s="29"/>
      <c r="AS1287" s="29"/>
      <c r="AT1287" s="29"/>
      <c r="AU1287" s="29"/>
      <c r="AV1287" s="29"/>
      <c r="AW1287" s="29"/>
      <c r="AX1287" s="29"/>
      <c r="AY1287" s="29"/>
      <c r="AZ1287" s="29"/>
      <c r="BA1287" s="29"/>
      <c r="BB1287" s="29"/>
      <c r="BC1287" s="29"/>
      <c r="BD1287" s="29"/>
      <c r="BE1287" s="29"/>
      <c r="BF1287" s="29"/>
      <c r="BG1287" s="29"/>
      <c r="BH1287" s="29"/>
      <c r="BI1287" s="29"/>
      <c r="BJ1287" s="29"/>
      <c r="BK1287" s="29"/>
      <c r="BL1287" s="29"/>
      <c r="BM1287" s="29"/>
      <c r="BN1287" s="29"/>
      <c r="BO1287" s="29"/>
      <c r="BP1287" s="29"/>
      <c r="BQ1287" s="29"/>
      <c r="BR1287" s="29"/>
      <c r="BS1287" s="29"/>
      <c r="BT1287" s="29"/>
      <c r="BU1287" s="29"/>
    </row>
    <row r="1288" spans="34:73" x14ac:dyDescent="0.25">
      <c r="AH1288" s="29"/>
      <c r="AI1288" s="29"/>
      <c r="AJ1288" s="29"/>
      <c r="AK1288" s="29"/>
      <c r="AL1288" s="29"/>
      <c r="AM1288" s="29"/>
      <c r="AN1288" s="29"/>
      <c r="AO1288" s="29"/>
      <c r="AP1288" s="29"/>
      <c r="AQ1288" s="29"/>
      <c r="AR1288" s="29"/>
      <c r="AS1288" s="29"/>
      <c r="AT1288" s="29"/>
      <c r="AU1288" s="29"/>
      <c r="AV1288" s="29"/>
      <c r="AW1288" s="29"/>
      <c r="AX1288" s="29"/>
      <c r="AY1288" s="29"/>
      <c r="AZ1288" s="29"/>
      <c r="BA1288" s="29"/>
      <c r="BB1288" s="29"/>
      <c r="BC1288" s="29"/>
      <c r="BD1288" s="29"/>
      <c r="BE1288" s="29"/>
      <c r="BF1288" s="29"/>
      <c r="BG1288" s="29"/>
      <c r="BH1288" s="29"/>
      <c r="BI1288" s="29"/>
      <c r="BJ1288" s="29"/>
      <c r="BK1288" s="29"/>
      <c r="BL1288" s="29"/>
      <c r="BM1288" s="29"/>
      <c r="BN1288" s="29"/>
      <c r="BO1288" s="29"/>
      <c r="BP1288" s="29"/>
      <c r="BQ1288" s="29"/>
      <c r="BR1288" s="29"/>
      <c r="BS1288" s="29"/>
      <c r="BT1288" s="29"/>
      <c r="BU1288" s="29"/>
    </row>
    <row r="1289" spans="34:73" x14ac:dyDescent="0.25">
      <c r="AH1289" s="29"/>
      <c r="AI1289" s="29"/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  <c r="AT1289" s="29"/>
      <c r="AU1289" s="29"/>
      <c r="AV1289" s="29"/>
      <c r="AW1289" s="29"/>
      <c r="AX1289" s="29"/>
      <c r="AY1289" s="29"/>
      <c r="AZ1289" s="29"/>
      <c r="BA1289" s="29"/>
      <c r="BB1289" s="29"/>
      <c r="BC1289" s="29"/>
      <c r="BD1289" s="29"/>
      <c r="BE1289" s="29"/>
      <c r="BF1289" s="29"/>
      <c r="BG1289" s="29"/>
      <c r="BH1289" s="29"/>
      <c r="BI1289" s="29"/>
      <c r="BJ1289" s="29"/>
      <c r="BK1289" s="29"/>
      <c r="BL1289" s="29"/>
      <c r="BM1289" s="29"/>
      <c r="BN1289" s="29"/>
      <c r="BO1289" s="29"/>
      <c r="BP1289" s="29"/>
      <c r="BQ1289" s="29"/>
      <c r="BR1289" s="29"/>
      <c r="BS1289" s="29"/>
      <c r="BT1289" s="29"/>
      <c r="BU1289" s="29"/>
    </row>
    <row r="1290" spans="34:73" x14ac:dyDescent="0.25">
      <c r="AH1290" s="29"/>
      <c r="AI1290" s="29"/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  <c r="AT1290" s="29"/>
      <c r="AU1290" s="29"/>
      <c r="AV1290" s="29"/>
      <c r="AW1290" s="29"/>
      <c r="AX1290" s="29"/>
      <c r="AY1290" s="29"/>
      <c r="AZ1290" s="29"/>
      <c r="BA1290" s="29"/>
      <c r="BB1290" s="29"/>
      <c r="BC1290" s="29"/>
      <c r="BD1290" s="29"/>
      <c r="BE1290" s="29"/>
      <c r="BF1290" s="29"/>
      <c r="BG1290" s="29"/>
      <c r="BH1290" s="29"/>
      <c r="BI1290" s="29"/>
      <c r="BJ1290" s="29"/>
      <c r="BK1290" s="29"/>
      <c r="BL1290" s="29"/>
      <c r="BM1290" s="29"/>
      <c r="BN1290" s="29"/>
      <c r="BO1290" s="29"/>
      <c r="BP1290" s="29"/>
      <c r="BQ1290" s="29"/>
      <c r="BR1290" s="29"/>
      <c r="BS1290" s="29"/>
      <c r="BT1290" s="29"/>
      <c r="BU1290" s="29"/>
    </row>
    <row r="1291" spans="34:73" x14ac:dyDescent="0.25">
      <c r="AH1291" s="29"/>
      <c r="AI1291" s="29"/>
      <c r="AJ1291" s="29"/>
      <c r="AK1291" s="29"/>
      <c r="AL1291" s="29"/>
      <c r="AN1291" s="29"/>
      <c r="AO1291" s="29"/>
      <c r="AP1291" s="29"/>
      <c r="AQ1291" s="29"/>
      <c r="AR1291" s="29"/>
      <c r="AS1291" s="29"/>
      <c r="AT1291" s="29"/>
      <c r="AU1291" s="29"/>
      <c r="AV1291" s="29"/>
      <c r="AW1291" s="29"/>
      <c r="AX1291" s="29"/>
      <c r="AY1291" s="29"/>
      <c r="AZ1291" s="29"/>
      <c r="BA1291" s="29"/>
      <c r="BB1291" s="29"/>
      <c r="BC1291" s="29"/>
      <c r="BD1291" s="29"/>
      <c r="BE1291" s="29"/>
      <c r="BF1291" s="29"/>
      <c r="BG1291" s="29"/>
      <c r="BH1291" s="29"/>
      <c r="BI1291" s="29"/>
      <c r="BJ1291" s="29"/>
      <c r="BK1291" s="29"/>
      <c r="BL1291" s="29"/>
      <c r="BM1291" s="29"/>
      <c r="BN1291" s="29"/>
      <c r="BO1291" s="29"/>
      <c r="BP1291" s="29"/>
      <c r="BQ1291" s="29"/>
      <c r="BR1291" s="29"/>
      <c r="BS1291" s="29"/>
      <c r="BT1291" s="29"/>
      <c r="BU1291" s="29"/>
    </row>
    <row r="1292" spans="34:73" x14ac:dyDescent="0.25">
      <c r="AH1292" s="29"/>
      <c r="AI1292" s="29"/>
      <c r="AJ1292" s="29"/>
      <c r="AK1292" s="29"/>
      <c r="AL1292" s="29"/>
      <c r="AN1292" s="29"/>
      <c r="AO1292" s="29"/>
      <c r="AP1292" s="29"/>
      <c r="AQ1292" s="29"/>
      <c r="AR1292" s="29"/>
      <c r="AS1292" s="29"/>
      <c r="AT1292" s="29"/>
      <c r="AU1292" s="29"/>
      <c r="AV1292" s="29"/>
      <c r="AW1292" s="29"/>
      <c r="AX1292" s="29"/>
      <c r="AY1292" s="29"/>
      <c r="AZ1292" s="29"/>
      <c r="BA1292" s="29"/>
      <c r="BB1292" s="29"/>
      <c r="BC1292" s="29"/>
      <c r="BD1292" s="29"/>
      <c r="BE1292" s="29"/>
      <c r="BF1292" s="29"/>
      <c r="BG1292" s="29"/>
      <c r="BH1292" s="29"/>
      <c r="BI1292" s="29"/>
      <c r="BJ1292" s="29"/>
      <c r="BK1292" s="29"/>
      <c r="BL1292" s="29"/>
      <c r="BM1292" s="29"/>
      <c r="BN1292" s="29"/>
      <c r="BO1292" s="29"/>
      <c r="BP1292" s="29"/>
      <c r="BQ1292" s="29"/>
      <c r="BR1292" s="29"/>
      <c r="BS1292" s="29"/>
      <c r="BT1292" s="29"/>
      <c r="BU1292" s="29"/>
    </row>
    <row r="1293" spans="34:73" x14ac:dyDescent="0.25">
      <c r="AH1293" s="29"/>
      <c r="AI1293" s="29"/>
      <c r="AJ1293" s="29"/>
      <c r="AK1293" s="29"/>
      <c r="AL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X1293" s="29"/>
      <c r="AY1293" s="29"/>
      <c r="AZ1293" s="29"/>
      <c r="BA1293" s="29"/>
      <c r="BB1293" s="29"/>
      <c r="BC1293" s="29"/>
      <c r="BD1293" s="29"/>
      <c r="BE1293" s="29"/>
      <c r="BF1293" s="29"/>
      <c r="BG1293" s="29"/>
      <c r="BH1293" s="29"/>
      <c r="BI1293" s="29"/>
      <c r="BJ1293" s="29"/>
      <c r="BK1293" s="29"/>
      <c r="BL1293" s="29"/>
      <c r="BM1293" s="29"/>
      <c r="BN1293" s="29"/>
      <c r="BO1293" s="29"/>
      <c r="BP1293" s="29"/>
      <c r="BQ1293" s="29"/>
      <c r="BR1293" s="29"/>
      <c r="BS1293" s="29"/>
      <c r="BT1293" s="29"/>
      <c r="BU1293" s="29"/>
    </row>
  </sheetData>
  <sheetProtection sheet="1" selectLockedCells="1" formatCells="0" formatRows="0" algorithmName="SHA-512" hashValue="VmubYtxZDlqq/rjdGCpu6Ml7OOGKTVPelLiWWldef1TW4i+qvvGILH5nwrGp9N6vGROdn85fC/7Wdf+brSAA4A==" saltValue="+oyu/rwdNnkIGcY8P4jhyw==" spinCount="100000"/>
  <mergeCells count="191">
    <mergeCell ref="F3:AE5"/>
    <mergeCell ref="C7:AE7"/>
    <mergeCell ref="C9:P9"/>
    <mergeCell ref="R9:W9"/>
    <mergeCell ref="Y9:AB9"/>
    <mergeCell ref="AC9:AE9"/>
    <mergeCell ref="C10:P10"/>
    <mergeCell ref="R10:W10"/>
    <mergeCell ref="Y10:AB10"/>
    <mergeCell ref="AC10:AE10"/>
    <mergeCell ref="C12:P12"/>
    <mergeCell ref="R12:AE12"/>
    <mergeCell ref="C13:P13"/>
    <mergeCell ref="R13:S13"/>
    <mergeCell ref="T13:Y13"/>
    <mergeCell ref="Z13:AA13"/>
    <mergeCell ref="AB13:AE13"/>
    <mergeCell ref="D15:E15"/>
    <mergeCell ref="G15:H15"/>
    <mergeCell ref="I15:L15"/>
    <mergeCell ref="N15:P15"/>
    <mergeCell ref="Q15:R15"/>
    <mergeCell ref="T15:U15"/>
    <mergeCell ref="V15:AE15"/>
    <mergeCell ref="C17:E17"/>
    <mergeCell ref="F17:L17"/>
    <mergeCell ref="N17:P17"/>
    <mergeCell ref="T17:Y17"/>
    <mergeCell ref="Z17:AE17"/>
    <mergeCell ref="C19:F19"/>
    <mergeCell ref="G19:AE19"/>
    <mergeCell ref="C21:U21"/>
    <mergeCell ref="W21:AB21"/>
    <mergeCell ref="AC21:AD21"/>
    <mergeCell ref="C23:E23"/>
    <mergeCell ref="H23:K23"/>
    <mergeCell ref="L23:AE23"/>
    <mergeCell ref="C25:F25"/>
    <mergeCell ref="G25:Y25"/>
    <mergeCell ref="AA25:AD25"/>
    <mergeCell ref="C27:E27"/>
    <mergeCell ref="F27:M27"/>
    <mergeCell ref="O27:S27"/>
    <mergeCell ref="T27:V27"/>
    <mergeCell ref="X27:AB27"/>
    <mergeCell ref="AC27:AD27"/>
    <mergeCell ref="C28:E28"/>
    <mergeCell ref="C29:E29"/>
    <mergeCell ref="F29:G29"/>
    <mergeCell ref="J29:O29"/>
    <mergeCell ref="P29:Q29"/>
    <mergeCell ref="T29:AA29"/>
    <mergeCell ref="AB29:AD29"/>
    <mergeCell ref="C31:E31"/>
    <mergeCell ref="F31:H31"/>
    <mergeCell ref="J31:S31"/>
    <mergeCell ref="T31:AE31"/>
    <mergeCell ref="C33:N33"/>
    <mergeCell ref="P33:W33"/>
    <mergeCell ref="Y33:AE33"/>
    <mergeCell ref="C35:AE35"/>
    <mergeCell ref="C37:K37"/>
    <mergeCell ref="M37:U37"/>
    <mergeCell ref="W37:AE37"/>
    <mergeCell ref="C38:K38"/>
    <mergeCell ref="M38:U38"/>
    <mergeCell ref="W38:X38"/>
    <mergeCell ref="Y38:AC38"/>
    <mergeCell ref="C40:K40"/>
    <mergeCell ref="M40:Q40"/>
    <mergeCell ref="S40:X40"/>
    <mergeCell ref="Z40:AE40"/>
    <mergeCell ref="C41:K41"/>
    <mergeCell ref="M41:Q41"/>
    <mergeCell ref="S41:X41"/>
    <mergeCell ref="Z41:AE41"/>
    <mergeCell ref="C43:K43"/>
    <mergeCell ref="M43:O43"/>
    <mergeCell ref="P43:X43"/>
    <mergeCell ref="Z43:AA43"/>
    <mergeCell ref="AB43:AE43"/>
    <mergeCell ref="C44:K44"/>
    <mergeCell ref="M44:O44"/>
    <mergeCell ref="P44:X44"/>
    <mergeCell ref="Z44:AA44"/>
    <mergeCell ref="AB44:AE44"/>
    <mergeCell ref="C46:AE46"/>
    <mergeCell ref="C47:AE47"/>
    <mergeCell ref="C49:F49"/>
    <mergeCell ref="G49:O49"/>
    <mergeCell ref="Q49:U49"/>
    <mergeCell ref="V49:AE49"/>
    <mergeCell ref="C51:F51"/>
    <mergeCell ref="G51:O51"/>
    <mergeCell ref="Q51:U51"/>
    <mergeCell ref="V51:AE51"/>
    <mergeCell ref="C53:H53"/>
    <mergeCell ref="I53:U53"/>
    <mergeCell ref="W53:AB53"/>
    <mergeCell ref="AC53:AD53"/>
    <mergeCell ref="C55:U55"/>
    <mergeCell ref="W55:AB55"/>
    <mergeCell ref="AC55:AD55"/>
    <mergeCell ref="C57:E57"/>
    <mergeCell ref="F57:U57"/>
    <mergeCell ref="W57:AB57"/>
    <mergeCell ref="AC57:AD57"/>
    <mergeCell ref="Q59:T59"/>
    <mergeCell ref="U59:W59"/>
    <mergeCell ref="Y59:AE59"/>
    <mergeCell ref="C61:AE61"/>
    <mergeCell ref="C63:U63"/>
    <mergeCell ref="V63:AE63"/>
    <mergeCell ref="C64:U64"/>
    <mergeCell ref="V64:AE64"/>
    <mergeCell ref="C65:U65"/>
    <mergeCell ref="V65:AE65"/>
    <mergeCell ref="C66:U66"/>
    <mergeCell ref="V66:AE66"/>
    <mergeCell ref="C67:U67"/>
    <mergeCell ref="V67:AE67"/>
    <mergeCell ref="C68:U68"/>
    <mergeCell ref="V68:AE68"/>
    <mergeCell ref="C69:U69"/>
    <mergeCell ref="V69:AE69"/>
    <mergeCell ref="C70:U70"/>
    <mergeCell ref="V70:AE70"/>
    <mergeCell ref="C71:U71"/>
    <mergeCell ref="V71:AE71"/>
    <mergeCell ref="C72:U72"/>
    <mergeCell ref="V72:AE72"/>
    <mergeCell ref="C73:U73"/>
    <mergeCell ref="V73:AE73"/>
    <mergeCell ref="C74:U74"/>
    <mergeCell ref="V74:AE74"/>
    <mergeCell ref="C75:U75"/>
    <mergeCell ref="V75:AE75"/>
    <mergeCell ref="C76:U76"/>
    <mergeCell ref="V76:AE76"/>
    <mergeCell ref="C77:U77"/>
    <mergeCell ref="V77:AE77"/>
    <mergeCell ref="C78:U78"/>
    <mergeCell ref="V78:AE78"/>
    <mergeCell ref="C79:U79"/>
    <mergeCell ref="V79:AE79"/>
    <mergeCell ref="C81:AE81"/>
    <mergeCell ref="C83:AE83"/>
    <mergeCell ref="C84:AE84"/>
    <mergeCell ref="C85:AE85"/>
    <mergeCell ref="C87:AE87"/>
    <mergeCell ref="C89:AC89"/>
    <mergeCell ref="AD89:AE89"/>
    <mergeCell ref="C90:AC90"/>
    <mergeCell ref="AD90:AE90"/>
    <mergeCell ref="C91:AC91"/>
    <mergeCell ref="AD91:AE91"/>
    <mergeCell ref="C92:AE92"/>
    <mergeCell ref="C93:AC93"/>
    <mergeCell ref="AD93:AE93"/>
    <mergeCell ref="C94:AC94"/>
    <mergeCell ref="AD94:AE94"/>
    <mergeCell ref="C95:AC95"/>
    <mergeCell ref="AD95:AE95"/>
    <mergeCell ref="C96:AC96"/>
    <mergeCell ref="AD96:AE96"/>
    <mergeCell ref="C98:AE98"/>
    <mergeCell ref="C100:AE100"/>
    <mergeCell ref="C101:D101"/>
    <mergeCell ref="E101:I101"/>
    <mergeCell ref="C102:D102"/>
    <mergeCell ref="E102:I102"/>
    <mergeCell ref="C104:AE104"/>
    <mergeCell ref="C105:N105"/>
    <mergeCell ref="O105:AE107"/>
    <mergeCell ref="C106:N106"/>
    <mergeCell ref="C107:N107"/>
    <mergeCell ref="C108:N108"/>
    <mergeCell ref="C109:N109"/>
    <mergeCell ref="O109:S114"/>
    <mergeCell ref="U109:X114"/>
    <mergeCell ref="Z109:AE114"/>
    <mergeCell ref="C110:N110"/>
    <mergeCell ref="C111:N111"/>
    <mergeCell ref="C112:N112"/>
    <mergeCell ref="C114:N115"/>
    <mergeCell ref="O115:S115"/>
    <mergeCell ref="U115:X115"/>
    <mergeCell ref="Z115:AE115"/>
    <mergeCell ref="B117:AF117"/>
    <mergeCell ref="W127:AA127"/>
    <mergeCell ref="D128:L128"/>
  </mergeCells>
  <conditionalFormatting sqref="C21">
    <cfRule type="containsBlanks" dxfId="1" priority="70" operator="containsBlanks">
      <formula>LEN(TRIM(C21))=0</formula>
    </cfRule>
  </conditionalFormatting>
  <conditionalFormatting sqref="C38:K38">
    <cfRule type="containsBlanks" dxfId="2" priority="112" operator="containsBlanks">
      <formula>LEN(TRIM(C38))=0</formula>
    </cfRule>
  </conditionalFormatting>
  <conditionalFormatting sqref="C41:K41">
    <cfRule type="containsBlanks" dxfId="3" priority="100" operator="containsBlanks">
      <formula>LEN(TRIM(C41))=0</formula>
    </cfRule>
  </conditionalFormatting>
  <conditionalFormatting sqref="C44:K44">
    <cfRule type="containsBlanks" dxfId="4" priority="95" operator="containsBlanks">
      <formula>LEN(TRIM(C44))=0</formula>
    </cfRule>
  </conditionalFormatting>
  <conditionalFormatting sqref="C10:P10 F31 T31">
    <cfRule type="containsBlanks" dxfId="5" priority="115" operator="containsBlanks">
      <formula>LEN(TRIM(C10))=0</formula>
    </cfRule>
  </conditionalFormatting>
  <conditionalFormatting sqref="C13:P13">
    <cfRule type="containsBlanks" dxfId="6" priority="103" operator="containsBlanks">
      <formula>LEN(TRIM(C13))=0</formula>
    </cfRule>
  </conditionalFormatting>
  <conditionalFormatting sqref="D15:E15">
    <cfRule type="containsBlanks" dxfId="7" priority="105" operator="containsBlanks">
      <formula>LEN(TRIM(D15))=0</formula>
    </cfRule>
  </conditionalFormatting>
  <conditionalFormatting sqref="F17">
    <cfRule type="containsBlanks" dxfId="8" priority="69" operator="containsBlanks">
      <formula>LEN(TRIM(F17))=0</formula>
    </cfRule>
  </conditionalFormatting>
  <conditionalFormatting sqref="F23">
    <cfRule type="containsBlanks" dxfId="9" priority="68" operator="containsBlanks">
      <formula>LEN(TRIM(F23))=0</formula>
    </cfRule>
  </conditionalFormatting>
  <conditionalFormatting sqref="F27">
    <cfRule type="containsBlanks" dxfId="10" priority="116" operator="containsBlanks">
      <formula>LEN(TRIM(F27))=0</formula>
    </cfRule>
  </conditionalFormatting>
  <conditionalFormatting sqref="F29:G29">
    <cfRule type="containsBlanks" dxfId="11" priority="73" operator="containsBlanks">
      <formula>LEN(TRIM(F29))=0</formula>
    </cfRule>
  </conditionalFormatting>
  <conditionalFormatting sqref="G19">
    <cfRule type="containsBlanks" dxfId="12" priority="77" operator="containsBlanks">
      <formula>LEN(TRIM(G19))=0</formula>
    </cfRule>
  </conditionalFormatting>
  <conditionalFormatting sqref="G25">
    <cfRule type="containsBlanks" dxfId="13" priority="71" operator="containsBlanks">
      <formula>LEN(TRIM(G25))=0</formula>
    </cfRule>
  </conditionalFormatting>
  <conditionalFormatting sqref="G49">
    <cfRule type="containsBlanks" dxfId="14" priority="91" operator="containsBlanks">
      <formula>LEN(TRIM(G49))=0</formula>
    </cfRule>
  </conditionalFormatting>
  <conditionalFormatting sqref="G51">
    <cfRule type="containsBlanks" dxfId="15" priority="62" operator="containsBlanks">
      <formula>LEN(TRIM(G51))=0</formula>
    </cfRule>
  </conditionalFormatting>
  <conditionalFormatting sqref="I53">
    <cfRule type="containsBlanks" dxfId="16" priority="90" operator="containsBlanks">
      <formula>LEN(TRIM(I53))=0</formula>
    </cfRule>
  </conditionalFormatting>
  <conditionalFormatting sqref="I15:L15">
    <cfRule type="containsBlanks" dxfId="17" priority="108" operator="containsBlanks">
      <formula>LEN(TRIM(I15))=0</formula>
    </cfRule>
  </conditionalFormatting>
  <conditionalFormatting sqref="M38 AE38">
    <cfRule type="containsBlanks" dxfId="18" priority="109" operator="containsBlanks">
      <formula>LEN(TRIM(M38))=0</formula>
    </cfRule>
  </conditionalFormatting>
  <conditionalFormatting sqref="N17:P17">
    <cfRule type="cellIs" dxfId="19" priority="34" operator="equal">
      <formula>"Potência Geração"</formula>
    </cfRule>
  </conditionalFormatting>
  <conditionalFormatting sqref="P29">
    <cfRule type="containsBlanks" dxfId="20" priority="117" operator="containsBlanks">
      <formula>LEN(TRIM(P29))=0</formula>
    </cfRule>
  </conditionalFormatting>
  <conditionalFormatting sqref="P33">
    <cfRule type="containsBlanks" dxfId="21" priority="110" operator="containsBlanks">
      <formula>LEN(TRIM(P33))=0</formula>
    </cfRule>
  </conditionalFormatting>
  <conditionalFormatting sqref="P43:X44">
    <cfRule type="containsBlanks" dxfId="22" priority="96" operator="containsBlanks">
      <formula>LEN(TRIM(P43))=0</formula>
    </cfRule>
  </conditionalFormatting>
  <conditionalFormatting sqref="Q17">
    <cfRule type="expression" dxfId="23" priority="30">
      <formula>AND($R$17="kW",$Q$17="")</formula>
    </cfRule>
    <cfRule type="expression" dxfId="24" priority="31">
      <formula>$R$17="kW"</formula>
    </cfRule>
  </conditionalFormatting>
  <conditionalFormatting sqref="Q15:R15">
    <cfRule type="containsBlanks" dxfId="25" priority="107" operator="containsBlanks">
      <formula>LEN(TRIM(Q15))=0</formula>
    </cfRule>
  </conditionalFormatting>
  <conditionalFormatting sqref="R17">
    <cfRule type="cellIs" dxfId="26" priority="33" operator="equal">
      <formula>"kW"</formula>
    </cfRule>
  </conditionalFormatting>
  <conditionalFormatting sqref="R29">
    <cfRule type="containsBlanks" dxfId="27" priority="94" operator="containsBlanks">
      <formula>LEN(TRIM(R29))=0</formula>
    </cfRule>
  </conditionalFormatting>
  <conditionalFormatting sqref="R10:W10">
    <cfRule type="containsBlanks" dxfId="28" priority="102" operator="containsBlanks">
      <formula>LEN(TRIM(R10))=0</formula>
    </cfRule>
  </conditionalFormatting>
  <conditionalFormatting sqref="S41:X41">
    <cfRule type="containsBlanks" dxfId="29" priority="99" operator="containsBlanks">
      <formula>LEN(TRIM(S41))=0</formula>
    </cfRule>
  </conditionalFormatting>
  <conditionalFormatting sqref="T13">
    <cfRule type="containsBlanks" dxfId="30" priority="104" operator="containsBlanks">
      <formula>LEN(TRIM(T13))=0</formula>
    </cfRule>
  </conditionalFormatting>
  <conditionalFormatting sqref="T27">
    <cfRule type="containsBlanks" dxfId="31" priority="89" operator="containsBlanks">
      <formula>LEN(TRIM(T27))=0</formula>
    </cfRule>
  </conditionalFormatting>
  <conditionalFormatting sqref="U59">
    <cfRule type="expression" dxfId="32" priority="2">
      <formula>$J$57="PG ACIMA DO LIMITE DE 10 kW"</formula>
    </cfRule>
    <cfRule type="expression" dxfId="33" priority="3">
      <formula>$J$57="NOK: PG &gt; PD"</formula>
    </cfRule>
    <cfRule type="expression" dxfId="34" priority="4">
      <formula>$J$57="OK: PG ≤ PD"</formula>
    </cfRule>
    <cfRule type="containsBlanks" dxfId="35" priority="5" operator="containsBlanks">
      <formula>LEN(TRIM(U59))=0</formula>
    </cfRule>
  </conditionalFormatting>
  <conditionalFormatting sqref="V15:AE15">
    <cfRule type="containsBlanks" dxfId="36" priority="106" operator="containsBlanks">
      <formula>LEN(TRIM(V15))=0</formula>
    </cfRule>
  </conditionalFormatting>
  <conditionalFormatting sqref="W21:AB21 AF21:AP21">
    <cfRule type="cellIs" dxfId="37" priority="29" operator="equal">
      <formula>"Potência de Geração Existente"</formula>
    </cfRule>
  </conditionalFormatting>
  <conditionalFormatting sqref="Y33">
    <cfRule type="containsBlanks" dxfId="38" priority="111" operator="containsBlanks">
      <formula>LEN(TRIM(Y33))=0</formula>
    </cfRule>
  </conditionalFormatting>
  <conditionalFormatting sqref="Y59">
    <cfRule type="containsBlanks" dxfId="39" priority="9" operator="containsBlanks">
      <formula>LEN(TRIM(Y59))=0</formula>
    </cfRule>
    <cfRule type="containsText" dxfId="40" priority="7">
      <formula>NOT(ISERROR(SEARCH("PGT ACIMA DO LIMITE DO GRUPO B",Y59)))</formula>
    </cfRule>
    <cfRule type="containsText" dxfId="41" priority="6">
      <formula>NOT(ISERROR(SEARCH("NOK: PGT &gt; PD",Y59)))</formula>
    </cfRule>
    <cfRule type="containsText" dxfId="42" priority="8">
      <formula>NOT(ISERROR(SEARCH("OK: PGT ≤ PD",Y59)))</formula>
    </cfRule>
  </conditionalFormatting>
  <conditionalFormatting sqref="Y38:AC38">
    <cfRule type="containsBlanks" dxfId="43" priority="114" operator="containsBlanks">
      <formula>LEN(TRIM(Y38))=0</formula>
    </cfRule>
  </conditionalFormatting>
  <conditionalFormatting sqref="AB29">
    <cfRule type="containsBlanks" dxfId="44" priority="88" operator="containsBlanks">
      <formula>LEN(TRIM(AB29))=0</formula>
    </cfRule>
    <cfRule type="cellIs" dxfId="45" priority="86" operator="equal">
      <formula>0</formula>
    </cfRule>
    <cfRule type="containsErrors" dxfId="46" priority="87" operator="containsErrors">
      <formula>ISERROR(AB29)</formula>
    </cfRule>
  </conditionalFormatting>
  <conditionalFormatting sqref="AB44">
    <cfRule type="containsBlanks" dxfId="47" priority="98" operator="containsBlanks">
      <formula>LEN(TRIM(AB44))=0</formula>
    </cfRule>
  </conditionalFormatting>
  <conditionalFormatting sqref="AB43:AE43">
    <cfRule type="containsBlanks" dxfId="48" priority="97" operator="containsBlanks">
      <formula>LEN(TRIM(AB43))=0</formula>
    </cfRule>
  </conditionalFormatting>
  <conditionalFormatting sqref="AC21">
    <cfRule type="expression" dxfId="49" priority="27">
      <formula>AND($AE$21="kW",$AC$21="")</formula>
    </cfRule>
  </conditionalFormatting>
  <conditionalFormatting sqref="AC27">
    <cfRule type="containsBlanks" dxfId="50" priority="113" operator="containsBlanks">
      <formula>LEN(TRIM(AC27))=0</formula>
    </cfRule>
  </conditionalFormatting>
  <conditionalFormatting sqref="AC21:AD21">
    <cfRule type="expression" dxfId="51" priority="28">
      <formula>$AE$21="kW"</formula>
    </cfRule>
  </conditionalFormatting>
  <conditionalFormatting sqref="AC9:AE10">
    <cfRule type="containsBlanks" dxfId="52" priority="101" operator="containsBlanks">
      <formula>LEN(TRIM(AC9))=0</formula>
    </cfRule>
  </conditionalFormatting>
  <conditionalFormatting sqref="AD89:AE91">
    <cfRule type="containsBlanks" dxfId="53" priority="64" operator="containsBlanks">
      <formula>LEN(TRIM(AD89))=0</formula>
    </cfRule>
  </conditionalFormatting>
  <conditionalFormatting sqref="AD91:AE91">
    <cfRule type="containsText" dxfId="54" priority="63">
      <formula>NOT(ISERROR(SEARCH("NÃO",AD91)))</formula>
    </cfRule>
  </conditionalFormatting>
  <conditionalFormatting sqref="AD93:AE96">
    <cfRule type="containsBlanks" dxfId="55" priority="19" operator="containsBlanks">
      <formula>LEN(TRIM(AD93))=0</formula>
    </cfRule>
  </conditionalFormatting>
  <conditionalFormatting sqref="AD96:AE96">
    <cfRule type="containsText" dxfId="56" priority="18">
      <formula>NOT(ISERROR(SEARCH("NÃO",AD96)))</formula>
    </cfRule>
  </conditionalFormatting>
  <conditionalFormatting sqref="AE21">
    <cfRule type="cellIs" dxfId="57" priority="26" operator="equal">
      <formula>"kW"</formula>
    </cfRule>
  </conditionalFormatting>
  <conditionalFormatting sqref="AE27">
    <cfRule type="containsBlanks" dxfId="58" priority="92" operator="containsBlanks">
      <formula>LEN(TRIM(AE27))=0</formula>
    </cfRule>
  </conditionalFormatting>
  <conditionalFormatting sqref="AE29">
    <cfRule type="containsBlanks" dxfId="59" priority="93" operator="containsBlanks">
      <formula>LEN(TRIM(AE29))=0</formula>
    </cfRule>
  </conditionalFormatting>
  <conditionalFormatting sqref="AE53">
    <cfRule type="containsBlanks" dxfId="60" priority="45" operator="containsBlanks">
      <formula>LEN(TRIM(AE53))=0</formula>
    </cfRule>
  </conditionalFormatting>
  <conditionalFormatting sqref="AE55">
    <cfRule type="containsBlanks" dxfId="61" priority="43" operator="containsBlanks">
      <formula>LEN(TRIM(AE55))=0</formula>
    </cfRule>
  </conditionalFormatting>
  <conditionalFormatting sqref="AE57">
    <cfRule type="containsBlanks" dxfId="62" priority="1" operator="containsBlanks">
      <formula>LEN(TRIM(AE57))=0</formula>
    </cfRule>
  </conditionalFormatting>
  <dataValidations count="15">
    <dataValidation type="list" allowBlank="1" showInputMessage="1" showErrorMessage="1" sqref="AA19:AE19">
      <formula1>$AN$3:$AN$7</formula1>
    </dataValidation>
    <dataValidation type="list" allowBlank="1" showInputMessage="1" showErrorMessage="1" sqref="AC27:AD27">
      <formula1>$AJ$10:$AJ$12</formula1>
    </dataValidation>
    <dataValidation type="list" allowBlank="1" showInputMessage="1" showErrorMessage="1" sqref="AD89:AE91">
      <formula1>$AJ$7:$AJ$8</formula1>
    </dataValidation>
    <dataValidation type="list" allowBlank="1" showInputMessage="1" showErrorMessage="1" sqref="AD93:AE96">
      <formula1>$AJ$7:$AJ$8</formula1>
    </dataValidation>
    <dataValidation type="list" allowBlank="1" showInputMessage="1" showErrorMessage="1" sqref="F17">
      <formula1>$AN$21:$AN$22</formula1>
    </dataValidation>
    <dataValidation type="list" allowBlank="1" showInputMessage="1" showErrorMessage="1" sqref="F23">
      <formula1>$AJ$7:$AJ$8</formula1>
    </dataValidation>
    <dataValidation type="list" allowBlank="1" showInputMessage="1" showErrorMessage="1" sqref="F27">
      <formula1>$AL$3:$AL$10</formula1>
    </dataValidation>
    <dataValidation type="list" allowBlank="1" showInputMessage="1" showErrorMessage="1" sqref="F31:H31">
      <formula1>$AJ$13:$AJ$14</formula1>
    </dataValidation>
    <dataValidation type="list" allowBlank="1" showInputMessage="1" showErrorMessage="1" sqref="G19:AE19">
      <formula1>$AN$3:$AN$7</formula1>
    </dataValidation>
    <dataValidation type="list" allowBlank="1" showInputMessage="1" showErrorMessage="1" sqref="G49">
      <formula1>$AM$11:$AM$17</formula1>
    </dataValidation>
    <dataValidation type="list" allowBlank="1" showInputMessage="1" showErrorMessage="1" sqref="G51:O51">
      <formula1>$AM$19:$AM$22</formula1>
    </dataValidation>
    <dataValidation type="list" allowBlank="1" showInputMessage="1" showErrorMessage="1" sqref="I53">
      <formula1>$AL$12:$AL$15</formula1>
    </dataValidation>
    <dataValidation type="list" allowBlank="1" showInputMessage="1" showErrorMessage="1" sqref="P29:Q29">
      <formula1>$AI$2:$AI$16</formula1>
    </dataValidation>
    <dataValidation type="list" allowBlank="1" showInputMessage="1" showErrorMessage="1" sqref="Q15:R15">
      <formula1>$AK$3:$AK$9</formula1>
    </dataValidation>
    <dataValidation type="list" allowBlank="1" showInputMessage="1" showErrorMessage="1" sqref="T27">
      <formula1>$AJ$3:$AJ$5</formula1>
    </dataValidation>
  </dataValidations>
  <printOptions horizont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35" fitToWidth="1" fitToHeight="0" firstPageNumber="1" useFirstPageNumber="1" copies="1"/>
  <drawing r:id="rId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59"/>
  <sheetViews>
    <sheetView workbookViewId="0" showGridLines="0" zoomScale="100" zoomScaleNormal="100">
      <selection activeCell="D30" sqref="D30"/>
    </sheetView>
  </sheetViews>
  <sheetFormatPr defaultRowHeight="14.45" outlineLevelRow="0" outlineLevelCol="0" x14ac:dyDescent="0" customHeight="1"/>
  <cols>
    <col min="1" max="1" width="1.7109375" customWidth="1"/>
    <col min="2" max="2" width="3.28515625" style="1" customWidth="1"/>
    <col min="3" max="3" width="5" customWidth="1"/>
    <col min="4" max="4" width="20.28515625" customWidth="1"/>
    <col min="5" max="5" width="11.42578125" customWidth="1"/>
    <col min="6" max="6" width="21.85546875" customWidth="1"/>
    <col min="7" max="7" width="18" customWidth="1"/>
    <col min="8" max="8" width="22.85546875" customWidth="1"/>
    <col min="12" max="12" width="9.85546875" customWidth="1"/>
    <col min="13" max="13" width="1.7109375" customWidth="1"/>
  </cols>
  <sheetData>
    <row r="1" ht="9.95" customHeight="1" x14ac:dyDescent="0.25"/>
    <row r="2" ht="15" customHeight="1" spans="2:37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ht="9.95" customHeight="1" spans="2:37" x14ac:dyDescent="0.25">
      <c r="B3" s="6"/>
      <c r="C3" s="7"/>
      <c r="D3" s="7"/>
      <c r="E3" s="7"/>
      <c r="F3" s="7"/>
      <c r="G3" s="7"/>
      <c r="H3" s="7"/>
      <c r="I3" s="7"/>
      <c r="J3" s="7"/>
      <c r="K3" s="7"/>
      <c r="L3" s="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2:37" x14ac:dyDescent="0.25">
      <c r="B4" s="9" t="s">
        <v>1</v>
      </c>
      <c r="C4" s="10" t="s">
        <v>2</v>
      </c>
      <c r="D4" s="10"/>
      <c r="E4" s="10"/>
      <c r="F4" s="10"/>
      <c r="G4" s="10"/>
      <c r="H4" s="10"/>
      <c r="I4" s="10"/>
      <c r="J4" s="10"/>
      <c r="K4" s="10"/>
      <c r="L4" s="1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2:37" x14ac:dyDescent="0.25">
      <c r="B5" s="9"/>
      <c r="C5" s="12" t="s">
        <v>3</v>
      </c>
      <c r="D5" s="10"/>
      <c r="E5" s="10"/>
      <c r="F5" s="10"/>
      <c r="G5" s="10"/>
      <c r="H5" s="10"/>
      <c r="I5" s="10"/>
      <c r="J5" s="10"/>
      <c r="K5" s="10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2:37" x14ac:dyDescent="0.25">
      <c r="B6" s="9"/>
      <c r="C6" s="13" t="s">
        <v>4</v>
      </c>
      <c r="D6" s="10"/>
      <c r="E6" s="10"/>
      <c r="F6" s="10"/>
      <c r="G6" s="10"/>
      <c r="H6" s="10"/>
      <c r="I6" s="10"/>
      <c r="J6" s="10"/>
      <c r="K6" s="10"/>
      <c r="L6" s="1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2:37" x14ac:dyDescent="0.25">
      <c r="B7" s="9"/>
      <c r="C7" s="13" t="s">
        <v>5</v>
      </c>
      <c r="D7" s="10"/>
      <c r="E7" s="10"/>
      <c r="F7" s="10"/>
      <c r="G7" s="10"/>
      <c r="H7" s="10"/>
      <c r="I7" s="10"/>
      <c r="J7" s="10"/>
      <c r="K7" s="10"/>
      <c r="L7" s="1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2:37" x14ac:dyDescent="0.25">
      <c r="B8" s="9"/>
      <c r="C8" s="13" t="s">
        <v>6</v>
      </c>
      <c r="D8" s="10"/>
      <c r="E8" s="10"/>
      <c r="F8" s="10"/>
      <c r="G8" s="10"/>
      <c r="H8" s="10"/>
      <c r="I8" s="10"/>
      <c r="J8" s="10"/>
      <c r="K8" s="10"/>
      <c r="L8" s="1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2:37" x14ac:dyDescent="0.25">
      <c r="B9" s="9"/>
      <c r="C9" s="13" t="s">
        <v>7</v>
      </c>
      <c r="D9" s="10"/>
      <c r="E9" s="10"/>
      <c r="F9" s="10"/>
      <c r="G9" s="10"/>
      <c r="H9" s="10"/>
      <c r="I9" s="10"/>
      <c r="J9" s="10"/>
      <c r="K9" s="10"/>
      <c r="L9" s="1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2:37" x14ac:dyDescent="0.25">
      <c r="B10" s="9"/>
      <c r="C10" s="12" t="s">
        <v>8</v>
      </c>
      <c r="D10" s="10"/>
      <c r="E10" s="10"/>
      <c r="F10" s="10"/>
      <c r="G10" s="10"/>
      <c r="H10" s="10"/>
      <c r="I10" s="10"/>
      <c r="J10" s="10"/>
      <c r="K10" s="10"/>
      <c r="L10" s="1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2:37" x14ac:dyDescent="0.25">
      <c r="B11" s="9"/>
      <c r="C11" s="13" t="s">
        <v>6</v>
      </c>
      <c r="D11" s="10"/>
      <c r="E11" s="10"/>
      <c r="F11" s="10"/>
      <c r="G11" s="10"/>
      <c r="H11" s="10"/>
      <c r="I11" s="10"/>
      <c r="J11" s="10"/>
      <c r="K11" s="10"/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2:37" x14ac:dyDescent="0.25">
      <c r="B12" s="9"/>
      <c r="C12" s="13" t="s">
        <v>7</v>
      </c>
      <c r="D12" s="10"/>
      <c r="E12" s="10"/>
      <c r="F12" s="10"/>
      <c r="G12" s="10"/>
      <c r="H12" s="10"/>
      <c r="I12" s="10"/>
      <c r="J12" s="10"/>
      <c r="K12" s="10"/>
      <c r="L12" s="1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2:37" x14ac:dyDescent="0.25">
      <c r="B13" s="9"/>
      <c r="C13" s="13" t="s">
        <v>9</v>
      </c>
      <c r="D13" s="10"/>
      <c r="E13" s="10"/>
      <c r="F13" s="10"/>
      <c r="G13" s="10"/>
      <c r="H13" s="10"/>
      <c r="I13" s="10"/>
      <c r="J13" s="10"/>
      <c r="K13" s="10"/>
      <c r="L13" s="1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2:37" x14ac:dyDescent="0.25">
      <c r="B14" s="9"/>
      <c r="C14" s="13" t="s">
        <v>10</v>
      </c>
      <c r="D14" s="10"/>
      <c r="E14" s="10"/>
      <c r="F14" s="10"/>
      <c r="G14" s="10"/>
      <c r="H14" s="10"/>
      <c r="I14" s="10"/>
      <c r="J14" s="10"/>
      <c r="K14" s="10"/>
      <c r="L14" s="1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2:37" x14ac:dyDescent="0.25">
      <c r="B15" s="9"/>
      <c r="C15" s="12" t="s">
        <v>11</v>
      </c>
      <c r="D15" s="10"/>
      <c r="E15" s="10"/>
      <c r="F15" s="10"/>
      <c r="G15" s="10"/>
      <c r="H15" s="10"/>
      <c r="I15" s="10"/>
      <c r="J15" s="10"/>
      <c r="K15" s="10"/>
      <c r="L15" s="1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2:37" x14ac:dyDescent="0.25">
      <c r="B16" s="9"/>
      <c r="C16" s="13" t="s">
        <v>12</v>
      </c>
      <c r="D16" s="10"/>
      <c r="E16" s="10"/>
      <c r="F16" s="10"/>
      <c r="G16" s="10"/>
      <c r="H16" s="10"/>
      <c r="I16" s="10"/>
      <c r="J16" s="10"/>
      <c r="K16" s="10"/>
      <c r="L16" s="1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2:37" x14ac:dyDescent="0.25">
      <c r="B17" s="9"/>
      <c r="C17" s="12" t="s">
        <v>13</v>
      </c>
      <c r="D17" s="10"/>
      <c r="E17" s="10"/>
      <c r="F17" s="10"/>
      <c r="G17" s="10"/>
      <c r="H17" s="10"/>
      <c r="I17" s="10"/>
      <c r="J17" s="10"/>
      <c r="K17" s="10"/>
      <c r="L17" s="1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2:37" x14ac:dyDescent="0.25">
      <c r="B18" s="9"/>
      <c r="C18" s="13" t="s">
        <v>14</v>
      </c>
      <c r="D18" s="10"/>
      <c r="E18" s="10"/>
      <c r="F18" s="10"/>
      <c r="G18" s="10"/>
      <c r="H18" s="10"/>
      <c r="I18" s="10"/>
      <c r="J18" s="10"/>
      <c r="K18" s="10"/>
      <c r="L18" s="1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2:37" x14ac:dyDescent="0.25">
      <c r="B19" s="9" t="s">
        <v>15</v>
      </c>
      <c r="C19" s="10" t="s">
        <v>16</v>
      </c>
      <c r="D19" s="10"/>
      <c r="E19" s="10"/>
      <c r="F19" s="10"/>
      <c r="G19" s="10"/>
      <c r="H19" s="10"/>
      <c r="I19" s="10"/>
      <c r="J19" s="10"/>
      <c r="K19" s="10"/>
      <c r="L19" s="1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2:37" x14ac:dyDescent="0.25">
      <c r="B20" s="9"/>
      <c r="C20" s="10" t="s">
        <v>17</v>
      </c>
      <c r="D20" s="10"/>
      <c r="E20" s="10"/>
      <c r="F20" s="10"/>
      <c r="G20" s="10"/>
      <c r="H20" s="10"/>
      <c r="I20" s="10"/>
      <c r="J20" s="10"/>
      <c r="K20" s="10"/>
      <c r="L20" s="1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2:37" x14ac:dyDescent="0.25">
      <c r="B21" s="9"/>
      <c r="C21" s="10" t="s">
        <v>18</v>
      </c>
      <c r="D21" s="10"/>
      <c r="E21" s="10"/>
      <c r="F21" s="10"/>
      <c r="G21" s="10"/>
      <c r="H21" s="10"/>
      <c r="I21" s="10"/>
      <c r="J21" s="10"/>
      <c r="K21" s="10"/>
      <c r="L21" s="1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2:37" x14ac:dyDescent="0.25">
      <c r="B22" s="9"/>
      <c r="C22" s="10" t="s">
        <v>19</v>
      </c>
      <c r="D22" s="10"/>
      <c r="E22" s="10"/>
      <c r="F22" s="10"/>
      <c r="G22" s="10"/>
      <c r="H22" s="10"/>
      <c r="I22" s="10"/>
      <c r="J22" s="10"/>
      <c r="K22" s="10"/>
      <c r="L22" s="1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2:37" x14ac:dyDescent="0.25">
      <c r="B23" s="9"/>
      <c r="C23" s="10" t="s">
        <v>20</v>
      </c>
      <c r="D23" s="10"/>
      <c r="E23" s="10"/>
      <c r="F23" s="10"/>
      <c r="G23" s="10"/>
      <c r="H23" s="10"/>
      <c r="I23" s="10"/>
      <c r="J23" s="10"/>
      <c r="K23" s="10"/>
      <c r="L23" s="1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2:37" x14ac:dyDescent="0.25">
      <c r="B24" s="9"/>
      <c r="C24" s="13" t="s">
        <v>21</v>
      </c>
      <c r="D24" s="10"/>
      <c r="E24" s="10"/>
      <c r="F24" s="10"/>
      <c r="G24" s="10"/>
      <c r="H24" s="10"/>
      <c r="I24" s="10"/>
      <c r="J24" s="10"/>
      <c r="K24" s="10"/>
      <c r="L24" s="1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2:37" x14ac:dyDescent="0.25">
      <c r="B25" s="9"/>
      <c r="C25" s="13" t="s">
        <v>22</v>
      </c>
      <c r="D25" s="10"/>
      <c r="E25" s="10"/>
      <c r="F25" s="10"/>
      <c r="G25" s="10"/>
      <c r="H25" s="10"/>
      <c r="I25" s="10"/>
      <c r="J25" s="10"/>
      <c r="K25" s="10"/>
      <c r="L25" s="1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2:37" x14ac:dyDescent="0.25">
      <c r="B26" s="9"/>
      <c r="C26" s="13" t="s">
        <v>23</v>
      </c>
      <c r="D26" s="10"/>
      <c r="E26" s="10"/>
      <c r="F26" s="10"/>
      <c r="G26" s="10"/>
      <c r="H26" s="10"/>
      <c r="I26" s="10"/>
      <c r="J26" s="10"/>
      <c r="K26" s="10"/>
      <c r="L26" s="1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2:37" x14ac:dyDescent="0.25">
      <c r="B27" s="9"/>
      <c r="C27" s="13" t="s">
        <v>24</v>
      </c>
      <c r="D27" s="10"/>
      <c r="E27" s="10"/>
      <c r="F27" s="10"/>
      <c r="G27" s="10"/>
      <c r="H27" s="10"/>
      <c r="I27" s="10"/>
      <c r="J27" s="10"/>
      <c r="K27" s="10"/>
      <c r="L27" s="1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2:37" x14ac:dyDescent="0.25">
      <c r="B28" s="9" t="s">
        <v>25</v>
      </c>
      <c r="C28" s="10" t="s">
        <v>26</v>
      </c>
      <c r="D28" s="10"/>
      <c r="E28" s="10"/>
      <c r="F28" s="10"/>
      <c r="G28" s="10"/>
      <c r="H28" s="10"/>
      <c r="I28" s="10"/>
      <c r="J28" s="10"/>
      <c r="K28" s="10"/>
      <c r="L28" s="1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2:37" x14ac:dyDescent="0.25">
      <c r="B29" s="9"/>
      <c r="C29" s="13"/>
      <c r="D29" s="10"/>
      <c r="E29" s="10"/>
      <c r="F29" s="10"/>
      <c r="G29" s="10"/>
      <c r="H29" s="10"/>
      <c r="I29" s="10"/>
      <c r="J29" s="10"/>
      <c r="K29" s="10"/>
      <c r="L29" s="1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ht="15" customHeight="1" spans="2:37" x14ac:dyDescent="0.25">
      <c r="B30" s="14" t="s">
        <v>27</v>
      </c>
      <c r="C30" s="15"/>
      <c r="D30" s="16"/>
      <c r="E30" s="16"/>
      <c r="F30" s="16"/>
      <c r="G30" s="16"/>
      <c r="H30" s="16"/>
      <c r="I30" s="16"/>
      <c r="J30" s="16"/>
      <c r="K30" s="16"/>
      <c r="L30" s="1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ht="9.95" customHeight="1" spans="2:37" x14ac:dyDescent="0.25">
      <c r="B31" s="12"/>
      <c r="C31" s="10"/>
      <c r="D31" s="10"/>
      <c r="E31" s="10"/>
      <c r="F31" s="10"/>
      <c r="G31" s="10"/>
      <c r="H31" s="10"/>
      <c r="I31" s="10"/>
      <c r="J31" s="10"/>
      <c r="K31" s="10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2:37" x14ac:dyDescent="0.25">
      <c r="B32" s="12"/>
      <c r="C32" s="10"/>
      <c r="D32" s="10"/>
      <c r="E32" s="10"/>
      <c r="F32" s="10"/>
      <c r="G32" s="10"/>
      <c r="H32" s="10"/>
      <c r="I32" s="10"/>
      <c r="J32" s="10"/>
      <c r="K32" s="10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2:37" x14ac:dyDescent="0.25">
      <c r="B33" s="12"/>
      <c r="C33" s="10"/>
      <c r="D33" s="10"/>
      <c r="E33" s="10"/>
      <c r="F33" s="10"/>
      <c r="G33" s="10"/>
      <c r="H33" s="10"/>
      <c r="I33" s="10"/>
      <c r="J33" s="10"/>
      <c r="K33" s="10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2:37" x14ac:dyDescent="0.25">
      <c r="B34" s="12"/>
      <c r="C34" s="10"/>
      <c r="D34" s="10"/>
      <c r="E34" s="10"/>
      <c r="F34" s="10"/>
      <c r="G34" s="10"/>
      <c r="H34" s="10"/>
      <c r="I34" s="10"/>
      <c r="J34" s="10"/>
      <c r="K34" s="10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2:37" x14ac:dyDescent="0.25">
      <c r="B35" s="12"/>
      <c r="C35" s="10"/>
      <c r="D35" s="10"/>
      <c r="E35" s="10"/>
      <c r="F35" s="10"/>
      <c r="G35" s="10"/>
      <c r="H35" s="10"/>
      <c r="I35" s="10"/>
      <c r="J35" s="10"/>
      <c r="K35" s="10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2:37" x14ac:dyDescent="0.25">
      <c r="B36" s="12"/>
      <c r="C36" s="10"/>
      <c r="D36" s="10"/>
      <c r="E36" s="10"/>
      <c r="F36" s="10"/>
      <c r="G36" s="10"/>
      <c r="H36" s="10"/>
      <c r="I36" s="10"/>
      <c r="J36" s="10"/>
      <c r="K36" s="10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2:37" x14ac:dyDescent="0.25">
      <c r="B37" s="12"/>
      <c r="C37" s="10"/>
      <c r="D37" s="10"/>
      <c r="E37" s="10"/>
      <c r="F37" s="10"/>
      <c r="G37" s="10"/>
      <c r="H37" s="10"/>
      <c r="I37" s="10"/>
      <c r="J37" s="10"/>
      <c r="K37" s="10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2:37" x14ac:dyDescent="0.25">
      <c r="B38" s="12"/>
      <c r="C38" s="10"/>
      <c r="D38" s="10"/>
      <c r="E38" s="10"/>
      <c r="F38" s="10"/>
      <c r="G38" s="10"/>
      <c r="H38" s="10"/>
      <c r="I38" s="10"/>
      <c r="J38" s="10"/>
      <c r="K38" s="10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2:37" x14ac:dyDescent="0.25">
      <c r="B39" s="12"/>
      <c r="C39" s="10"/>
      <c r="D39" s="10"/>
      <c r="E39" s="10"/>
      <c r="F39" s="10"/>
      <c r="G39" s="10"/>
      <c r="H39" s="10"/>
      <c r="I39" s="10"/>
      <c r="J39" s="10"/>
      <c r="K39" s="10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2:37" x14ac:dyDescent="0.25">
      <c r="B40" s="12"/>
      <c r="C40" s="10"/>
      <c r="D40" s="10"/>
      <c r="E40" s="10"/>
      <c r="F40" s="10"/>
      <c r="G40" s="10"/>
      <c r="H40" s="10"/>
      <c r="I40" s="10"/>
      <c r="J40" s="10"/>
      <c r="K40" s="10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2:37" x14ac:dyDescent="0.25">
      <c r="B41" s="12"/>
      <c r="C41" s="10"/>
      <c r="D41" s="10"/>
      <c r="E41" s="10"/>
      <c r="F41" s="10"/>
      <c r="G41" s="10"/>
      <c r="H41" s="10"/>
      <c r="I41" s="10"/>
      <c r="J41" s="10"/>
      <c r="K41" s="10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2:37" x14ac:dyDescent="0.25">
      <c r="B42" s="12"/>
      <c r="C42" s="10"/>
      <c r="D42" s="10"/>
      <c r="E42" s="10"/>
      <c r="F42" s="10"/>
      <c r="G42" s="10"/>
      <c r="H42" s="10"/>
      <c r="I42" s="10"/>
      <c r="J42" s="10"/>
      <c r="K42" s="10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2:37" x14ac:dyDescent="0.25">
      <c r="B43" s="12"/>
      <c r="C43" s="10"/>
      <c r="D43" s="10"/>
      <c r="E43" s="10"/>
      <c r="F43" s="10"/>
      <c r="G43" s="10"/>
      <c r="H43" s="10"/>
      <c r="I43" s="10"/>
      <c r="J43" s="10"/>
      <c r="K43" s="10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2:37" x14ac:dyDescent="0.25">
      <c r="B44" s="12"/>
      <c r="C44" s="10"/>
      <c r="D44" s="10"/>
      <c r="E44" s="10"/>
      <c r="F44" s="10"/>
      <c r="G44" s="10"/>
      <c r="H44" s="10"/>
      <c r="I44" s="10"/>
      <c r="J44" s="10"/>
      <c r="K44" s="1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2:37" x14ac:dyDescent="0.25">
      <c r="B45" s="12"/>
      <c r="C45" s="10"/>
      <c r="D45" s="10"/>
      <c r="E45" s="10"/>
      <c r="F45" s="10"/>
      <c r="G45" s="10"/>
      <c r="H45" s="10"/>
      <c r="I45" s="10"/>
      <c r="J45" s="10"/>
      <c r="K45" s="10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2:37" x14ac:dyDescent="0.25">
      <c r="B46" s="12"/>
      <c r="C46" s="10"/>
      <c r="D46" s="10"/>
      <c r="E46" s="10"/>
      <c r="F46" s="10"/>
      <c r="G46" s="10"/>
      <c r="H46" s="10"/>
      <c r="I46" s="10"/>
      <c r="J46" s="10"/>
      <c r="K46" s="1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2:37" x14ac:dyDescent="0.25">
      <c r="B47" s="12"/>
      <c r="C47" s="10"/>
      <c r="D47" s="10"/>
      <c r="E47" s="10"/>
      <c r="F47" s="10"/>
      <c r="G47" s="10"/>
      <c r="H47" s="10"/>
      <c r="I47" s="10"/>
      <c r="J47" s="10"/>
      <c r="K47" s="1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2:37" x14ac:dyDescent="0.25">
      <c r="B48" s="12"/>
      <c r="C48" s="10"/>
      <c r="D48" s="10"/>
      <c r="E48" s="10"/>
      <c r="F48" s="10"/>
      <c r="G48" s="10"/>
      <c r="H48" s="10"/>
      <c r="I48" s="10"/>
      <c r="J48" s="10"/>
      <c r="K48" s="1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2:37" x14ac:dyDescent="0.25">
      <c r="B49" s="12"/>
      <c r="C49" s="10"/>
      <c r="D49" s="10"/>
      <c r="E49" s="10"/>
      <c r="F49" s="10"/>
      <c r="G49" s="10"/>
      <c r="H49" s="10"/>
      <c r="I49" s="10"/>
      <c r="J49" s="10"/>
      <c r="K49" s="1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2:37" x14ac:dyDescent="0.25">
      <c r="B50" s="12"/>
      <c r="C50" s="10"/>
      <c r="D50" s="10"/>
      <c r="E50" s="10"/>
      <c r="F50" s="10"/>
      <c r="G50" s="10"/>
      <c r="H50" s="10"/>
      <c r="I50" s="10"/>
      <c r="J50" s="10"/>
      <c r="K50" s="1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2:37" x14ac:dyDescent="0.25">
      <c r="B51" s="12"/>
      <c r="C51" s="10"/>
      <c r="D51" s="10"/>
      <c r="E51" s="10"/>
      <c r="F51" s="10"/>
      <c r="G51" s="10"/>
      <c r="H51" s="10"/>
      <c r="I51" s="10"/>
      <c r="J51" s="10"/>
      <c r="K51" s="1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2:37" x14ac:dyDescent="0.25">
      <c r="B52" s="12"/>
      <c r="C52" s="10"/>
      <c r="D52" s="10"/>
      <c r="E52" s="10"/>
      <c r="F52" s="10"/>
      <c r="G52" s="10"/>
      <c r="H52" s="10"/>
      <c r="I52" s="10"/>
      <c r="J52" s="10"/>
      <c r="K52" s="1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2:37" x14ac:dyDescent="0.25"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2:37" x14ac:dyDescent="0.25">
      <c r="B54" s="12"/>
      <c r="C54" s="10"/>
      <c r="D54" s="10"/>
      <c r="E54" s="10"/>
      <c r="F54" s="10"/>
      <c r="G54" s="10"/>
      <c r="H54" s="10"/>
      <c r="I54" s="10"/>
      <c r="J54" s="10"/>
      <c r="K54" s="1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2:37" x14ac:dyDescent="0.25">
      <c r="B55" s="12"/>
      <c r="C55" s="10"/>
      <c r="D55" s="10"/>
      <c r="E55" s="10"/>
      <c r="F55" s="10"/>
      <c r="G55" s="10"/>
      <c r="H55" s="10"/>
      <c r="I55" s="10"/>
      <c r="J55" s="10"/>
      <c r="K55" s="1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2:37" x14ac:dyDescent="0.25">
      <c r="B56" s="12"/>
      <c r="C56" s="10"/>
      <c r="D56" s="10"/>
      <c r="E56" s="10"/>
      <c r="F56" s="10"/>
      <c r="G56" s="10"/>
      <c r="H56" s="10"/>
      <c r="I56" s="10"/>
      <c r="J56" s="10"/>
      <c r="K56" s="1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2:37" x14ac:dyDescent="0.25">
      <c r="B57" s="12"/>
      <c r="C57" s="10"/>
      <c r="D57" s="10"/>
      <c r="E57" s="10"/>
      <c r="F57" s="10"/>
      <c r="G57" s="10"/>
      <c r="H57" s="10"/>
      <c r="I57" s="10"/>
      <c r="J57" s="10"/>
      <c r="K57" s="1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2:37" x14ac:dyDescent="0.25">
      <c r="B58" s="12"/>
      <c r="C58" s="10"/>
      <c r="D58" s="10"/>
      <c r="E58" s="10"/>
      <c r="F58" s="10"/>
      <c r="G58" s="10"/>
      <c r="H58" s="10"/>
      <c r="I58" s="10"/>
      <c r="J58" s="10"/>
      <c r="K58" s="1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2:37" x14ac:dyDescent="0.25">
      <c r="B59" s="12"/>
      <c r="C59" s="10"/>
      <c r="D59" s="10"/>
      <c r="E59" s="10"/>
      <c r="F59" s="10"/>
      <c r="G59" s="10"/>
      <c r="H59" s="10"/>
      <c r="I59" s="10"/>
      <c r="J59" s="10"/>
      <c r="K59" s="1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2:37" x14ac:dyDescent="0.25">
      <c r="B60" s="12"/>
      <c r="C60" s="10"/>
      <c r="D60" s="10"/>
      <c r="E60" s="10"/>
      <c r="F60" s="10"/>
      <c r="G60" s="10"/>
      <c r="H60" s="10"/>
      <c r="I60" s="10"/>
      <c r="J60" s="10"/>
      <c r="K60" s="1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2:37" x14ac:dyDescent="0.25">
      <c r="B61" s="12"/>
      <c r="C61" s="10"/>
      <c r="D61" s="10"/>
      <c r="E61" s="10"/>
      <c r="F61" s="10"/>
      <c r="G61" s="10"/>
      <c r="H61" s="10"/>
      <c r="I61" s="10"/>
      <c r="J61" s="10"/>
      <c r="K61" s="1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2:37" x14ac:dyDescent="0.25">
      <c r="B62" s="12"/>
      <c r="C62" s="10"/>
      <c r="D62" s="10"/>
      <c r="E62" s="10"/>
      <c r="F62" s="10"/>
      <c r="G62" s="10"/>
      <c r="H62" s="10"/>
      <c r="I62" s="10"/>
      <c r="J62" s="10"/>
      <c r="K62" s="1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2:37" x14ac:dyDescent="0.25">
      <c r="B63" s="12"/>
      <c r="C63" s="10"/>
      <c r="D63" s="10"/>
      <c r="E63" s="10"/>
      <c r="F63" s="10"/>
      <c r="G63" s="10"/>
      <c r="H63" s="10"/>
      <c r="I63" s="10"/>
      <c r="J63" s="10"/>
      <c r="K63" s="1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2:37" x14ac:dyDescent="0.25">
      <c r="B64" s="12"/>
      <c r="C64" s="10"/>
      <c r="D64" s="10"/>
      <c r="E64" s="10"/>
      <c r="F64" s="10"/>
      <c r="G64" s="10"/>
      <c r="H64" s="10"/>
      <c r="I64" s="10"/>
      <c r="J64" s="10"/>
      <c r="K64" s="1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2:37" x14ac:dyDescent="0.25">
      <c r="B65" s="12"/>
      <c r="C65" s="10"/>
      <c r="D65" s="10"/>
      <c r="E65" s="10"/>
      <c r="F65" s="10"/>
      <c r="G65" s="10"/>
      <c r="H65" s="10"/>
      <c r="I65" s="10"/>
      <c r="J65" s="10"/>
      <c r="K65" s="1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2:37" x14ac:dyDescent="0.25">
      <c r="B66" s="12"/>
      <c r="C66" s="10"/>
      <c r="D66" s="10"/>
      <c r="E66" s="10"/>
      <c r="F66" s="10"/>
      <c r="G66" s="10"/>
      <c r="H66" s="10"/>
      <c r="I66" s="10"/>
      <c r="J66" s="10"/>
      <c r="K66" s="1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2:37" x14ac:dyDescent="0.25">
      <c r="B67" s="12"/>
      <c r="C67" s="10"/>
      <c r="D67" s="10"/>
      <c r="E67" s="10"/>
      <c r="F67" s="10"/>
      <c r="G67" s="10"/>
      <c r="H67" s="10"/>
      <c r="I67" s="10"/>
      <c r="J67" s="10"/>
      <c r="K67" s="1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2:37" x14ac:dyDescent="0.25">
      <c r="B68" s="12"/>
      <c r="C68" s="10"/>
      <c r="D68" s="10"/>
      <c r="E68" s="10"/>
      <c r="F68" s="10"/>
      <c r="G68" s="10"/>
      <c r="H68" s="10"/>
      <c r="I68" s="10"/>
      <c r="J68" s="10"/>
      <c r="K68" s="1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2:37" x14ac:dyDescent="0.25">
      <c r="B69" s="12"/>
      <c r="C69" s="10"/>
      <c r="D69" s="10"/>
      <c r="E69" s="10"/>
      <c r="F69" s="10"/>
      <c r="G69" s="10"/>
      <c r="H69" s="10"/>
      <c r="I69" s="10"/>
      <c r="J69" s="10"/>
      <c r="K69" s="1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2:37" x14ac:dyDescent="0.25">
      <c r="B70" s="12"/>
      <c r="C70" s="10"/>
      <c r="D70" s="10"/>
      <c r="E70" s="10"/>
      <c r="F70" s="10"/>
      <c r="G70" s="10"/>
      <c r="H70" s="10"/>
      <c r="I70" s="10"/>
      <c r="J70" s="10"/>
      <c r="K70" s="1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2:37" x14ac:dyDescent="0.25">
      <c r="B71" s="12"/>
      <c r="C71" s="10"/>
      <c r="D71" s="10"/>
      <c r="E71" s="10"/>
      <c r="F71" s="10"/>
      <c r="G71" s="10"/>
      <c r="H71" s="10"/>
      <c r="I71" s="10"/>
      <c r="J71" s="10"/>
      <c r="K71" s="1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2:37" x14ac:dyDescent="0.25">
      <c r="B72" s="12"/>
      <c r="C72" s="10"/>
      <c r="D72" s="10"/>
      <c r="E72" s="10"/>
      <c r="F72" s="10"/>
      <c r="G72" s="10"/>
      <c r="H72" s="10"/>
      <c r="I72" s="10"/>
      <c r="J72" s="10"/>
      <c r="K72" s="1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2:37" x14ac:dyDescent="0.25">
      <c r="B73" s="12"/>
      <c r="C73" s="10"/>
      <c r="D73" s="10"/>
      <c r="E73" s="10"/>
      <c r="F73" s="10"/>
      <c r="G73" s="10"/>
      <c r="H73" s="10"/>
      <c r="I73" s="10"/>
      <c r="J73" s="10"/>
      <c r="K73" s="1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2:37" x14ac:dyDescent="0.25">
      <c r="B74" s="12"/>
      <c r="C74" s="10"/>
      <c r="D74" s="10"/>
      <c r="E74" s="10"/>
      <c r="F74" s="10"/>
      <c r="G74" s="10"/>
      <c r="H74" s="10"/>
      <c r="I74" s="10"/>
      <c r="J74" s="10"/>
      <c r="K74" s="1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2:37" x14ac:dyDescent="0.25">
      <c r="B75" s="12"/>
      <c r="C75" s="10"/>
      <c r="D75" s="10"/>
      <c r="E75" s="10"/>
      <c r="F75" s="10"/>
      <c r="G75" s="10"/>
      <c r="H75" s="10"/>
      <c r="I75" s="10"/>
      <c r="J75" s="10"/>
      <c r="K75" s="1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2:37" x14ac:dyDescent="0.25">
      <c r="B76" s="12"/>
      <c r="C76" s="10"/>
      <c r="D76" s="10"/>
      <c r="E76" s="10"/>
      <c r="F76" s="10"/>
      <c r="G76" s="10"/>
      <c r="H76" s="10"/>
      <c r="I76" s="10"/>
      <c r="J76" s="10"/>
      <c r="K76" s="1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2:37" x14ac:dyDescent="0.25">
      <c r="B77" s="12"/>
      <c r="C77" s="10"/>
      <c r="D77" s="10"/>
      <c r="E77" s="10"/>
      <c r="F77" s="10"/>
      <c r="G77" s="10"/>
      <c r="H77" s="10"/>
      <c r="I77" s="10"/>
      <c r="J77" s="10"/>
      <c r="K77" s="1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2:37" x14ac:dyDescent="0.25">
      <c r="B78" s="12"/>
      <c r="C78" s="10"/>
      <c r="D78" s="10"/>
      <c r="E78" s="10"/>
      <c r="F78" s="10"/>
      <c r="G78" s="10"/>
      <c r="H78" s="10"/>
      <c r="I78" s="10"/>
      <c r="J78" s="10"/>
      <c r="K78" s="1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2:37" x14ac:dyDescent="0.25">
      <c r="B79" s="12"/>
      <c r="C79" s="10"/>
      <c r="D79" s="10"/>
      <c r="E79" s="10"/>
      <c r="F79" s="10"/>
      <c r="G79" s="10"/>
      <c r="H79" s="10"/>
      <c r="I79" s="10"/>
      <c r="J79" s="10"/>
      <c r="K79" s="10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2:37" x14ac:dyDescent="0.25">
      <c r="B80" s="12"/>
      <c r="C80" s="10"/>
      <c r="D80" s="10"/>
      <c r="E80" s="10"/>
      <c r="F80" s="10"/>
      <c r="G80" s="10"/>
      <c r="H80" s="10"/>
      <c r="I80" s="10"/>
      <c r="J80" s="10"/>
      <c r="K80" s="1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2:37" x14ac:dyDescent="0.25">
      <c r="B81" s="12"/>
      <c r="C81" s="10"/>
      <c r="D81" s="10"/>
      <c r="E81" s="10"/>
      <c r="F81" s="10"/>
      <c r="G81" s="10"/>
      <c r="H81" s="10"/>
      <c r="I81" s="10"/>
      <c r="J81" s="10"/>
      <c r="K81" s="10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2:37" x14ac:dyDescent="0.25">
      <c r="B82" s="12"/>
      <c r="C82" s="10"/>
      <c r="D82" s="10"/>
      <c r="E82" s="10"/>
      <c r="F82" s="10"/>
      <c r="G82" s="10"/>
      <c r="H82" s="10"/>
      <c r="I82" s="10"/>
      <c r="J82" s="10"/>
      <c r="K82" s="10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2:37" x14ac:dyDescent="0.25">
      <c r="B83" s="12"/>
      <c r="C83" s="10"/>
      <c r="D83" s="10"/>
      <c r="E83" s="10"/>
      <c r="F83" s="10"/>
      <c r="G83" s="10"/>
      <c r="H83" s="10"/>
      <c r="I83" s="10"/>
      <c r="J83" s="10"/>
      <c r="K83" s="10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2:37" x14ac:dyDescent="0.25">
      <c r="B84" s="12"/>
      <c r="C84" s="10"/>
      <c r="D84" s="10"/>
      <c r="E84" s="10"/>
      <c r="F84" s="10"/>
      <c r="G84" s="10"/>
      <c r="H84" s="10"/>
      <c r="I84" s="10"/>
      <c r="J84" s="10"/>
      <c r="K84" s="10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2:37" x14ac:dyDescent="0.25">
      <c r="B85" s="12"/>
      <c r="C85" s="10"/>
      <c r="D85" s="10"/>
      <c r="E85" s="10"/>
      <c r="F85" s="10"/>
      <c r="G85" s="10"/>
      <c r="H85" s="10"/>
      <c r="I85" s="10"/>
      <c r="J85" s="10"/>
      <c r="K85" s="10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2:37" x14ac:dyDescent="0.25">
      <c r="B86" s="12"/>
      <c r="C86" s="10"/>
      <c r="D86" s="10"/>
      <c r="E86" s="10"/>
      <c r="F86" s="10"/>
      <c r="G86" s="10"/>
      <c r="H86" s="10"/>
      <c r="I86" s="10"/>
      <c r="J86" s="10"/>
      <c r="K86" s="10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2:37" x14ac:dyDescent="0.25">
      <c r="B87" s="12"/>
      <c r="C87" s="10"/>
      <c r="D87" s="10"/>
      <c r="E87" s="10"/>
      <c r="F87" s="10"/>
      <c r="G87" s="10"/>
      <c r="H87" s="10"/>
      <c r="I87" s="10"/>
      <c r="J87" s="10"/>
      <c r="K87" s="10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2:37" x14ac:dyDescent="0.25">
      <c r="B88" s="12"/>
      <c r="C88" s="10"/>
      <c r="D88" s="10"/>
      <c r="E88" s="10"/>
      <c r="F88" s="10"/>
      <c r="G88" s="10"/>
      <c r="H88" s="10"/>
      <c r="I88" s="10"/>
      <c r="J88" s="10"/>
      <c r="K88" s="1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2:37" x14ac:dyDescent="0.25"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2:37" x14ac:dyDescent="0.25"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2:37" x14ac:dyDescent="0.25"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2:37" x14ac:dyDescent="0.25"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2:37" x14ac:dyDescent="0.25">
      <c r="B93" s="12"/>
      <c r="C93" s="10"/>
      <c r="D93" s="10"/>
      <c r="E93" s="10"/>
      <c r="F93" s="10"/>
      <c r="G93" s="10"/>
      <c r="H93" s="10"/>
      <c r="I93" s="10"/>
      <c r="J93" s="10"/>
      <c r="K93" s="1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2:37" x14ac:dyDescent="0.25">
      <c r="B94" s="12"/>
      <c r="C94" s="10"/>
      <c r="D94" s="10"/>
      <c r="E94" s="10"/>
      <c r="F94" s="10"/>
      <c r="G94" s="10"/>
      <c r="H94" s="10"/>
      <c r="I94" s="10"/>
      <c r="J94" s="10"/>
      <c r="K94" s="1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2:37" x14ac:dyDescent="0.25">
      <c r="B95" s="12"/>
      <c r="C95" s="10"/>
      <c r="D95" s="10"/>
      <c r="E95" s="10"/>
      <c r="F95" s="10"/>
      <c r="G95" s="10"/>
      <c r="H95" s="10"/>
      <c r="I95" s="10"/>
      <c r="J95" s="10"/>
      <c r="K95" s="1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2:37" x14ac:dyDescent="0.25">
      <c r="B96" s="12"/>
      <c r="C96" s="10"/>
      <c r="D96" s="10"/>
      <c r="E96" s="10"/>
      <c r="F96" s="10"/>
      <c r="G96" s="10"/>
      <c r="H96" s="10"/>
      <c r="I96" s="10"/>
      <c r="J96" s="10"/>
      <c r="K96" s="1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2:37" x14ac:dyDescent="0.25">
      <c r="B97" s="12"/>
      <c r="C97" s="10"/>
      <c r="D97" s="10"/>
      <c r="E97" s="10"/>
      <c r="F97" s="10"/>
      <c r="G97" s="10"/>
      <c r="H97" s="10"/>
      <c r="I97" s="10"/>
      <c r="J97" s="10"/>
      <c r="K97" s="1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2:37" x14ac:dyDescent="0.25">
      <c r="B98" s="12"/>
      <c r="C98" s="10"/>
      <c r="D98" s="10"/>
      <c r="E98" s="10"/>
      <c r="F98" s="10"/>
      <c r="G98" s="10"/>
      <c r="H98" s="10"/>
      <c r="I98" s="10"/>
      <c r="J98" s="10"/>
      <c r="K98" s="1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2:37" x14ac:dyDescent="0.25">
      <c r="B99" s="12"/>
      <c r="C99" s="10"/>
      <c r="D99" s="10"/>
      <c r="E99" s="10"/>
      <c r="F99" s="10"/>
      <c r="G99" s="10"/>
      <c r="H99" s="10"/>
      <c r="I99" s="10"/>
      <c r="J99" s="10"/>
      <c r="K99" s="1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2:37" x14ac:dyDescent="0.25">
      <c r="B100" s="12"/>
      <c r="C100" s="10"/>
      <c r="D100" s="10"/>
      <c r="E100" s="10"/>
      <c r="F100" s="10"/>
      <c r="G100" s="10"/>
      <c r="H100" s="10"/>
      <c r="I100" s="10"/>
      <c r="J100" s="10"/>
      <c r="K100" s="1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2:37" x14ac:dyDescent="0.25">
      <c r="B101" s="12"/>
      <c r="C101" s="10"/>
      <c r="D101" s="10"/>
      <c r="E101" s="10"/>
      <c r="F101" s="10"/>
      <c r="G101" s="10"/>
      <c r="H101" s="10"/>
      <c r="I101" s="10"/>
      <c r="J101" s="10"/>
      <c r="K101" s="1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2:37" x14ac:dyDescent="0.25">
      <c r="B102" s="12"/>
      <c r="C102" s="10"/>
      <c r="D102" s="10"/>
      <c r="E102" s="10"/>
      <c r="F102" s="10"/>
      <c r="G102" s="10"/>
      <c r="H102" s="10"/>
      <c r="I102" s="10"/>
      <c r="J102" s="10"/>
      <c r="K102" s="1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2:37" x14ac:dyDescent="0.25">
      <c r="B103" s="12"/>
      <c r="C103" s="10"/>
      <c r="D103" s="10"/>
      <c r="E103" s="10"/>
      <c r="F103" s="10"/>
      <c r="G103" s="10"/>
      <c r="H103" s="10"/>
      <c r="I103" s="10"/>
      <c r="J103" s="10"/>
      <c r="K103" s="1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2:37" x14ac:dyDescent="0.25">
      <c r="B104" s="12"/>
      <c r="C104" s="10"/>
      <c r="D104" s="10"/>
      <c r="E104" s="10"/>
      <c r="F104" s="10"/>
      <c r="G104" s="10"/>
      <c r="H104" s="10"/>
      <c r="I104" s="10"/>
      <c r="J104" s="10"/>
      <c r="K104" s="1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2:37" x14ac:dyDescent="0.25">
      <c r="B105" s="12"/>
      <c r="C105" s="10"/>
      <c r="D105" s="10"/>
      <c r="E105" s="10"/>
      <c r="F105" s="10"/>
      <c r="G105" s="10"/>
      <c r="H105" s="10"/>
      <c r="I105" s="10"/>
      <c r="J105" s="10"/>
      <c r="K105" s="1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2:37" x14ac:dyDescent="0.25">
      <c r="B106" s="12"/>
      <c r="C106" s="10"/>
      <c r="D106" s="10"/>
      <c r="E106" s="10"/>
      <c r="F106" s="10"/>
      <c r="G106" s="10"/>
      <c r="H106" s="10"/>
      <c r="I106" s="10"/>
      <c r="J106" s="10"/>
      <c r="K106" s="1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2:37" x14ac:dyDescent="0.25">
      <c r="B107" s="12"/>
      <c r="C107" s="10"/>
      <c r="D107" s="10"/>
      <c r="E107" s="10"/>
      <c r="F107" s="10"/>
      <c r="G107" s="10"/>
      <c r="H107" s="10"/>
      <c r="I107" s="10"/>
      <c r="J107" s="10"/>
      <c r="K107" s="1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2:37" x14ac:dyDescent="0.25"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2:37" x14ac:dyDescent="0.25"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2:37" x14ac:dyDescent="0.25"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2:37" x14ac:dyDescent="0.25"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2:37" x14ac:dyDescent="0.25"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2:37" x14ac:dyDescent="0.25"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2:37" x14ac:dyDescent="0.25"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2:37" x14ac:dyDescent="0.25"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2:37" x14ac:dyDescent="0.25"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2:37" x14ac:dyDescent="0.25"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2:37" x14ac:dyDescent="0.25"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2:37" x14ac:dyDescent="0.25"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2:37" x14ac:dyDescent="0.25"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2:37" x14ac:dyDescent="0.25"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2:37" x14ac:dyDescent="0.25"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2:37" x14ac:dyDescent="0.25"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2:37" x14ac:dyDescent="0.25"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2:37" x14ac:dyDescent="0.25"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2:37" x14ac:dyDescent="0.25"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2:37" x14ac:dyDescent="0.25"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2:37" x14ac:dyDescent="0.25"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2:37" x14ac:dyDescent="0.25"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2:37" x14ac:dyDescent="0.25"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2:37" x14ac:dyDescent="0.25"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2:37" x14ac:dyDescent="0.25"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2:37" x14ac:dyDescent="0.25"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2:37" x14ac:dyDescent="0.25"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2:37" x14ac:dyDescent="0.25"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2:37" x14ac:dyDescent="0.25"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2:37" x14ac:dyDescent="0.25"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2:37" x14ac:dyDescent="0.25"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2:37" x14ac:dyDescent="0.25"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2:37" x14ac:dyDescent="0.25"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2:37" x14ac:dyDescent="0.25"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2:37" x14ac:dyDescent="0.25"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2:37" x14ac:dyDescent="0.25"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2:37" x14ac:dyDescent="0.25"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2:37" x14ac:dyDescent="0.25"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2:37" x14ac:dyDescent="0.25"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2:37" x14ac:dyDescent="0.25"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2:37" x14ac:dyDescent="0.25"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2:37" x14ac:dyDescent="0.25"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2:37" x14ac:dyDescent="0.25"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2:37" x14ac:dyDescent="0.25"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2:37" x14ac:dyDescent="0.25"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2:37" x14ac:dyDescent="0.25"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2:37" x14ac:dyDescent="0.25"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2:37" x14ac:dyDescent="0.25"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2:37" x14ac:dyDescent="0.25"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2:37" x14ac:dyDescent="0.25"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2:37" x14ac:dyDescent="0.25"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2:37" x14ac:dyDescent="0.25"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2:37" x14ac:dyDescent="0.25"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2:37" x14ac:dyDescent="0.25"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2:37" x14ac:dyDescent="0.25"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2:37" x14ac:dyDescent="0.25"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2:37" x14ac:dyDescent="0.25"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2:37" x14ac:dyDescent="0.25"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2:37" x14ac:dyDescent="0.25"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2:37" x14ac:dyDescent="0.25"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2:37" x14ac:dyDescent="0.25"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2:37" x14ac:dyDescent="0.25"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2:37" x14ac:dyDescent="0.25"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2:37" x14ac:dyDescent="0.25"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2:37" x14ac:dyDescent="0.25"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2:37" x14ac:dyDescent="0.25"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2:37" x14ac:dyDescent="0.25"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2:37" x14ac:dyDescent="0.25"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2:37" x14ac:dyDescent="0.25"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2:37" x14ac:dyDescent="0.25"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2:37" x14ac:dyDescent="0.25"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2:37" x14ac:dyDescent="0.25"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2:37" x14ac:dyDescent="0.25"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2:37" x14ac:dyDescent="0.25"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2:37" x14ac:dyDescent="0.25"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2:37" x14ac:dyDescent="0.25"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2:37" x14ac:dyDescent="0.25"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2:37" x14ac:dyDescent="0.25"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2:37" x14ac:dyDescent="0.25"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2:37" x14ac:dyDescent="0.25"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2:37" x14ac:dyDescent="0.25"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2:37" x14ac:dyDescent="0.25"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2:37" x14ac:dyDescent="0.25"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2:37" x14ac:dyDescent="0.25"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2:37" x14ac:dyDescent="0.25"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2:37" x14ac:dyDescent="0.25"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2:37" x14ac:dyDescent="0.25"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2:37" x14ac:dyDescent="0.25"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2:37" x14ac:dyDescent="0.25"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2:37" x14ac:dyDescent="0.25"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2:37" x14ac:dyDescent="0.25"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2:37" x14ac:dyDescent="0.25"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2:37" x14ac:dyDescent="0.25"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2:37" x14ac:dyDescent="0.25"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2:37" x14ac:dyDescent="0.25"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2:37" x14ac:dyDescent="0.25"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2:37" x14ac:dyDescent="0.25"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2:37" x14ac:dyDescent="0.25"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2:37" x14ac:dyDescent="0.25"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2:37" x14ac:dyDescent="0.25"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2:37" x14ac:dyDescent="0.25"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2:37" x14ac:dyDescent="0.25"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2:37" x14ac:dyDescent="0.25"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2:37" x14ac:dyDescent="0.25"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2:37" x14ac:dyDescent="0.25"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2:37" x14ac:dyDescent="0.25"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2:37" x14ac:dyDescent="0.25"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2:37" x14ac:dyDescent="0.25"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2:37" x14ac:dyDescent="0.25"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2:37" x14ac:dyDescent="0.25"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2:37" x14ac:dyDescent="0.25"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2:37" x14ac:dyDescent="0.25"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2:37" x14ac:dyDescent="0.25"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2:37" x14ac:dyDescent="0.25"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2:37" x14ac:dyDescent="0.25"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2:37" x14ac:dyDescent="0.25"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2:37" x14ac:dyDescent="0.25"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2:37" x14ac:dyDescent="0.25"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2:37" x14ac:dyDescent="0.25"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2:37" x14ac:dyDescent="0.25"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2:37" x14ac:dyDescent="0.25"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2:37" x14ac:dyDescent="0.25"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2:37" x14ac:dyDescent="0.25"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2:37" x14ac:dyDescent="0.25"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2:37" x14ac:dyDescent="0.25"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spans="2:37" x14ac:dyDescent="0.25"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2:37" x14ac:dyDescent="0.25"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2:37" x14ac:dyDescent="0.25"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2:37" x14ac:dyDescent="0.25"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2:37" x14ac:dyDescent="0.25"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spans="2:37" x14ac:dyDescent="0.25"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spans="2:37" x14ac:dyDescent="0.25"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spans="2:37" x14ac:dyDescent="0.25"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spans="2:37" x14ac:dyDescent="0.25"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spans="2:37" x14ac:dyDescent="0.25"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spans="2:37" x14ac:dyDescent="0.25"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spans="2:37" x14ac:dyDescent="0.25"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spans="2:37" x14ac:dyDescent="0.25"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spans="2:37" x14ac:dyDescent="0.25"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spans="2:37" x14ac:dyDescent="0.25"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spans="2:37" x14ac:dyDescent="0.25"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spans="2:37" x14ac:dyDescent="0.25"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spans="2:37" x14ac:dyDescent="0.25"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spans="2:37" x14ac:dyDescent="0.25"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spans="2:37" x14ac:dyDescent="0.25"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spans="2:37" x14ac:dyDescent="0.25"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spans="2:37" x14ac:dyDescent="0.25"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spans="2:37" x14ac:dyDescent="0.25"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spans="2:37" x14ac:dyDescent="0.25"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spans="2:37" x14ac:dyDescent="0.25"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spans="2:37" x14ac:dyDescent="0.25"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spans="2:37" x14ac:dyDescent="0.25"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spans="2:37" x14ac:dyDescent="0.25"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spans="2:37" x14ac:dyDescent="0.25"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spans="2:37" x14ac:dyDescent="0.25"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spans="2:37" x14ac:dyDescent="0.25"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spans="2:37" x14ac:dyDescent="0.25"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spans="2:37" x14ac:dyDescent="0.25"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spans="2:37" x14ac:dyDescent="0.25"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spans="2:37" x14ac:dyDescent="0.25"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spans="2:37" x14ac:dyDescent="0.25"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spans="2:37" x14ac:dyDescent="0.25"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spans="2:37" x14ac:dyDescent="0.25"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spans="2:37" x14ac:dyDescent="0.25"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spans="2:37" x14ac:dyDescent="0.25"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spans="2:37" x14ac:dyDescent="0.25"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spans="2:37" x14ac:dyDescent="0.25"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spans="2:37" x14ac:dyDescent="0.25"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spans="2:37" x14ac:dyDescent="0.25"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spans="2:37" x14ac:dyDescent="0.25"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spans="2:37" x14ac:dyDescent="0.25"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spans="2:37" x14ac:dyDescent="0.25"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spans="2:37" x14ac:dyDescent="0.25"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spans="2:37" x14ac:dyDescent="0.25"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spans="2:37" x14ac:dyDescent="0.25"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spans="2:37" x14ac:dyDescent="0.25"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spans="2:37" x14ac:dyDescent="0.25"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spans="2:37" x14ac:dyDescent="0.25"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spans="2:37" x14ac:dyDescent="0.25"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2:37" x14ac:dyDescent="0.25"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spans="2:37" x14ac:dyDescent="0.25"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spans="2:37" x14ac:dyDescent="0.25"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spans="2:37" x14ac:dyDescent="0.25"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spans="2:37" x14ac:dyDescent="0.25"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spans="2:37" x14ac:dyDescent="0.25"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spans="2:37" x14ac:dyDescent="0.25"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spans="2:37" x14ac:dyDescent="0.25"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spans="2:37" x14ac:dyDescent="0.25"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spans="2:37" x14ac:dyDescent="0.25"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spans="2:37" x14ac:dyDescent="0.25"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spans="2:37" x14ac:dyDescent="0.25"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spans="2:37" x14ac:dyDescent="0.25"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spans="2:37" x14ac:dyDescent="0.25"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spans="2:37" x14ac:dyDescent="0.25"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spans="2:37" x14ac:dyDescent="0.25"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spans="2:37" x14ac:dyDescent="0.25"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spans="2:37" x14ac:dyDescent="0.25"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spans="2:37" x14ac:dyDescent="0.25"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spans="2:37" x14ac:dyDescent="0.25"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spans="2:37" x14ac:dyDescent="0.25"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spans="2:37" x14ac:dyDescent="0.25"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spans="2:37" x14ac:dyDescent="0.25"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spans="2:37" x14ac:dyDescent="0.25"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spans="2:37" x14ac:dyDescent="0.25"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spans="2:37" x14ac:dyDescent="0.25"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spans="2:37" x14ac:dyDescent="0.25"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spans="2:37" x14ac:dyDescent="0.25"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spans="2:37" x14ac:dyDescent="0.25"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spans="2:37" x14ac:dyDescent="0.25"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spans="2:37" x14ac:dyDescent="0.25"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spans="2:37" x14ac:dyDescent="0.25"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spans="2:37" x14ac:dyDescent="0.25"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spans="2:37" x14ac:dyDescent="0.25"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spans="2:37" x14ac:dyDescent="0.25"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spans="2:37" x14ac:dyDescent="0.25"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spans="2:37" x14ac:dyDescent="0.25"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spans="2:37" x14ac:dyDescent="0.25"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spans="2:37" x14ac:dyDescent="0.25"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spans="2:37" x14ac:dyDescent="0.25"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spans="2:37" x14ac:dyDescent="0.25"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spans="2:37" x14ac:dyDescent="0.25"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spans="2:37" x14ac:dyDescent="0.25"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spans="2:37" x14ac:dyDescent="0.25"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spans="2:37" x14ac:dyDescent="0.25"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spans="2:37" x14ac:dyDescent="0.25"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spans="2:37" x14ac:dyDescent="0.25"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spans="2:37" x14ac:dyDescent="0.25"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spans="2:37" x14ac:dyDescent="0.25"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spans="2:37" x14ac:dyDescent="0.25"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spans="2:37" x14ac:dyDescent="0.25"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spans="2:37" x14ac:dyDescent="0.25"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spans="2:37" x14ac:dyDescent="0.25"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spans="2:37" x14ac:dyDescent="0.25"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spans="2:37" x14ac:dyDescent="0.25"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spans="2:37" x14ac:dyDescent="0.25"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spans="2:37" x14ac:dyDescent="0.25"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spans="2:37" x14ac:dyDescent="0.25"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spans="2:37" x14ac:dyDescent="0.25"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spans="2:37" x14ac:dyDescent="0.25"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spans="2:37" x14ac:dyDescent="0.25"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spans="2:37" x14ac:dyDescent="0.25"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spans="2:37" x14ac:dyDescent="0.25"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spans="2:37" x14ac:dyDescent="0.25"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spans="2:37" x14ac:dyDescent="0.25"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spans="2:37" x14ac:dyDescent="0.25"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spans="2:37" x14ac:dyDescent="0.25"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spans="2:37" x14ac:dyDescent="0.25"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spans="2:37" x14ac:dyDescent="0.25"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spans="2:37" x14ac:dyDescent="0.25"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spans="2:37" x14ac:dyDescent="0.25"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spans="2:37" x14ac:dyDescent="0.25"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spans="2:37" x14ac:dyDescent="0.25"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spans="2:37" x14ac:dyDescent="0.25"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spans="2:37" x14ac:dyDescent="0.25"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spans="2:37" x14ac:dyDescent="0.25"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spans="2:37" x14ac:dyDescent="0.25"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spans="2:37" x14ac:dyDescent="0.25"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spans="2:37" x14ac:dyDescent="0.25"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spans="2:37" x14ac:dyDescent="0.25"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spans="2:37" x14ac:dyDescent="0.25"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spans="2:37" x14ac:dyDescent="0.25"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spans="2:37" x14ac:dyDescent="0.25"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spans="2:37" x14ac:dyDescent="0.25"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spans="2:37" x14ac:dyDescent="0.25"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spans="2:37" x14ac:dyDescent="0.25"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spans="2:37" x14ac:dyDescent="0.25"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spans="2:37" x14ac:dyDescent="0.25"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spans="2:37" x14ac:dyDescent="0.25"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spans="2:37" x14ac:dyDescent="0.25"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spans="2:37" x14ac:dyDescent="0.25"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spans="2:37" x14ac:dyDescent="0.25"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spans="2:37" x14ac:dyDescent="0.25"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spans="2:37" x14ac:dyDescent="0.25"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spans="2:37" x14ac:dyDescent="0.25"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spans="2:37" x14ac:dyDescent="0.25"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spans="2:37" x14ac:dyDescent="0.25"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spans="2:37" x14ac:dyDescent="0.25"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spans="2:37" x14ac:dyDescent="0.25"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spans="2:37" x14ac:dyDescent="0.25"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spans="2:37" x14ac:dyDescent="0.25"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spans="2:37" x14ac:dyDescent="0.25"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spans="2:37" x14ac:dyDescent="0.25"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spans="2:37" x14ac:dyDescent="0.25"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spans="2:37" x14ac:dyDescent="0.25"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spans="2:37" x14ac:dyDescent="0.25"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spans="2:37" x14ac:dyDescent="0.25"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spans="2:37" x14ac:dyDescent="0.25"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spans="2:37" x14ac:dyDescent="0.25"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spans="2:37" x14ac:dyDescent="0.25"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spans="2:37" x14ac:dyDescent="0.25"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 spans="2:37" x14ac:dyDescent="0.25"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 spans="2:37" x14ac:dyDescent="0.25"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 spans="2:37" x14ac:dyDescent="0.25"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 spans="2:37" x14ac:dyDescent="0.25"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 spans="2:37" x14ac:dyDescent="0.25"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 spans="2:37" x14ac:dyDescent="0.25"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 spans="2:37" x14ac:dyDescent="0.25"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 spans="2:37" x14ac:dyDescent="0.25"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 spans="2:37" x14ac:dyDescent="0.25"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 spans="2:37" x14ac:dyDescent="0.25"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 spans="2:37" x14ac:dyDescent="0.25"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 spans="2:37" x14ac:dyDescent="0.25"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 spans="2:37" x14ac:dyDescent="0.25"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 spans="2:37" x14ac:dyDescent="0.25"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 spans="2:37" x14ac:dyDescent="0.25"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spans="2:37" x14ac:dyDescent="0.25"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 spans="2:37" x14ac:dyDescent="0.25"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 spans="2:37" x14ac:dyDescent="0.25"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 spans="2:37" x14ac:dyDescent="0.25"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spans="2:37" x14ac:dyDescent="0.25"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 spans="2:37" x14ac:dyDescent="0.25"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 spans="2:37" x14ac:dyDescent="0.25"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 spans="2:37" x14ac:dyDescent="0.25"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 spans="2:37" x14ac:dyDescent="0.25"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 spans="2:37" x14ac:dyDescent="0.25"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 spans="2:37" x14ac:dyDescent="0.25"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 spans="2:37" x14ac:dyDescent="0.25"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 spans="2:37" x14ac:dyDescent="0.25"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 spans="2:37" x14ac:dyDescent="0.25"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 spans="2:37" x14ac:dyDescent="0.25"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 spans="2:37" x14ac:dyDescent="0.25"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 spans="2:37" x14ac:dyDescent="0.25"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spans="2:37" x14ac:dyDescent="0.25"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 spans="2:37" x14ac:dyDescent="0.25"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 spans="2:37" x14ac:dyDescent="0.25"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 spans="2:37" x14ac:dyDescent="0.25"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 spans="2:37" x14ac:dyDescent="0.25"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 spans="2:37" x14ac:dyDescent="0.25"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 spans="2:37" x14ac:dyDescent="0.25"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 spans="2:37" x14ac:dyDescent="0.25"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 spans="2:37" x14ac:dyDescent="0.25"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 spans="2:37" x14ac:dyDescent="0.25"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 spans="2:37" x14ac:dyDescent="0.25"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 spans="2:37" x14ac:dyDescent="0.25"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 spans="2:37" x14ac:dyDescent="0.25"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spans="2:37" x14ac:dyDescent="0.25"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 spans="2:37" x14ac:dyDescent="0.25"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 spans="2:37" x14ac:dyDescent="0.25"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 spans="2:37" x14ac:dyDescent="0.25"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 spans="2:37" x14ac:dyDescent="0.25"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 spans="2:37" x14ac:dyDescent="0.25"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 spans="2:37" x14ac:dyDescent="0.25"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 spans="2:37" x14ac:dyDescent="0.25"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 spans="2:37" x14ac:dyDescent="0.25"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 spans="2:37" x14ac:dyDescent="0.25"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 spans="2:37" x14ac:dyDescent="0.25"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 spans="2:37" x14ac:dyDescent="0.25"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 spans="2:37" x14ac:dyDescent="0.25"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 spans="2:37" x14ac:dyDescent="0.25"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 spans="2:37" x14ac:dyDescent="0.25"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 spans="2:37" x14ac:dyDescent="0.25"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 spans="2:37" x14ac:dyDescent="0.25"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 spans="2:37" x14ac:dyDescent="0.25"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 spans="2:37" x14ac:dyDescent="0.25"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 spans="2:37" x14ac:dyDescent="0.25"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 spans="2:37" x14ac:dyDescent="0.25"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 spans="2:37" x14ac:dyDescent="0.25"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 spans="2:37" x14ac:dyDescent="0.25"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 spans="2:37" x14ac:dyDescent="0.25"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spans="2:37" x14ac:dyDescent="0.25"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 spans="2:37" x14ac:dyDescent="0.25"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 spans="2:37" x14ac:dyDescent="0.25"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 spans="2:37" x14ac:dyDescent="0.25"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 spans="2:37" x14ac:dyDescent="0.25"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 spans="2:37" x14ac:dyDescent="0.25"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 spans="2:37" x14ac:dyDescent="0.25"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 spans="2:37" x14ac:dyDescent="0.25"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 spans="2:37" x14ac:dyDescent="0.25"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 spans="2:37" x14ac:dyDescent="0.25"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 spans="2:37" x14ac:dyDescent="0.25"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 spans="2:37" x14ac:dyDescent="0.25"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 spans="2:37" x14ac:dyDescent="0.25"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 spans="2:37" x14ac:dyDescent="0.25"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 spans="2:37" x14ac:dyDescent="0.25"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 spans="2:37" x14ac:dyDescent="0.25"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 spans="2:37" x14ac:dyDescent="0.25"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 spans="2:37" x14ac:dyDescent="0.25"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 spans="2:37" x14ac:dyDescent="0.25"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 spans="2:37" x14ac:dyDescent="0.25"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 spans="2:37" x14ac:dyDescent="0.25"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 spans="2:37" x14ac:dyDescent="0.25"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 spans="2:37" x14ac:dyDescent="0.25"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 spans="2:37" x14ac:dyDescent="0.25"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 spans="2:37" x14ac:dyDescent="0.25"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 spans="2:37" x14ac:dyDescent="0.25"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 spans="2:37" x14ac:dyDescent="0.25"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 spans="2:37" x14ac:dyDescent="0.25"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 spans="2:37" x14ac:dyDescent="0.25"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 spans="2:37" x14ac:dyDescent="0.25"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 spans="2:37" x14ac:dyDescent="0.25"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 spans="2:37" x14ac:dyDescent="0.25"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 spans="2:37" x14ac:dyDescent="0.25"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 spans="2:37" x14ac:dyDescent="0.25"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 spans="2:37" x14ac:dyDescent="0.25"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 spans="2:37" x14ac:dyDescent="0.25"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 spans="2:37" x14ac:dyDescent="0.25"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 spans="2:37" x14ac:dyDescent="0.25"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 spans="2:37" x14ac:dyDescent="0.25"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 spans="2:37" x14ac:dyDescent="0.25"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 spans="2:37" x14ac:dyDescent="0.25"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 spans="2:37" x14ac:dyDescent="0.25"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 spans="2:37" x14ac:dyDescent="0.25"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 spans="2:37" x14ac:dyDescent="0.25"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 spans="2:37" x14ac:dyDescent="0.25"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 spans="2:37" x14ac:dyDescent="0.25"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 spans="2:37" x14ac:dyDescent="0.25"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 spans="2:37" x14ac:dyDescent="0.25"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 spans="2:37" x14ac:dyDescent="0.25"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 spans="2:37" x14ac:dyDescent="0.25"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 spans="2:37" x14ac:dyDescent="0.25"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 spans="2:37" x14ac:dyDescent="0.25"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 spans="2:37" x14ac:dyDescent="0.25"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 spans="2:37" x14ac:dyDescent="0.25"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 spans="2:37" x14ac:dyDescent="0.25"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 spans="2:37" x14ac:dyDescent="0.25"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 spans="2:37" x14ac:dyDescent="0.25"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 spans="2:37" x14ac:dyDescent="0.25"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 spans="2:37" x14ac:dyDescent="0.25"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 spans="2:37" x14ac:dyDescent="0.25"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 spans="2:37" x14ac:dyDescent="0.25"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 spans="2:37" x14ac:dyDescent="0.25"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 spans="2:37" x14ac:dyDescent="0.25"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 spans="2:37" x14ac:dyDescent="0.25"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 spans="2:37" x14ac:dyDescent="0.25"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 spans="2:37" x14ac:dyDescent="0.25"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 spans="2:37" x14ac:dyDescent="0.25"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 spans="2:37" x14ac:dyDescent="0.25"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 spans="2:37" x14ac:dyDescent="0.25"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 spans="2:37" x14ac:dyDescent="0.25"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 spans="2:37" x14ac:dyDescent="0.25"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 spans="2:37" x14ac:dyDescent="0.25"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 spans="2:37" x14ac:dyDescent="0.25"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 spans="2:37" x14ac:dyDescent="0.25"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 spans="2:37" x14ac:dyDescent="0.25"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 spans="2:37" x14ac:dyDescent="0.25"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 spans="2:37" x14ac:dyDescent="0.25"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 spans="2:37" x14ac:dyDescent="0.25"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 spans="2:37" x14ac:dyDescent="0.25"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 spans="2:37" x14ac:dyDescent="0.25"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 spans="2:37" x14ac:dyDescent="0.25"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 spans="2:37" x14ac:dyDescent="0.25"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 spans="2:37" x14ac:dyDescent="0.25"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 spans="2:37" x14ac:dyDescent="0.25"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 spans="2:37" x14ac:dyDescent="0.25"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 spans="2:37" x14ac:dyDescent="0.25"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 spans="2:37" x14ac:dyDescent="0.25"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 spans="2:37" x14ac:dyDescent="0.25"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 spans="2:37" x14ac:dyDescent="0.25">
      <c r="B555" s="12"/>
      <c r="C555" s="10"/>
      <c r="D555" s="10"/>
      <c r="E555" s="10"/>
      <c r="F555" s="10"/>
      <c r="G555" s="10"/>
      <c r="H555" s="10"/>
      <c r="I555" s="10"/>
      <c r="J555" s="10"/>
      <c r="K555" s="10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 spans="2:37" x14ac:dyDescent="0.25">
      <c r="B556" s="12"/>
      <c r="C556" s="10"/>
      <c r="D556" s="10"/>
      <c r="E556" s="10"/>
      <c r="F556" s="10"/>
      <c r="G556" s="10"/>
      <c r="H556" s="10"/>
      <c r="I556" s="10"/>
      <c r="J556" s="10"/>
      <c r="K556" s="10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 spans="2:37" x14ac:dyDescent="0.25">
      <c r="B557" s="12"/>
      <c r="C557" s="10"/>
      <c r="D557" s="10"/>
      <c r="E557" s="10"/>
      <c r="F557" s="10"/>
      <c r="G557" s="10"/>
      <c r="H557" s="10"/>
      <c r="I557" s="10"/>
      <c r="J557" s="10"/>
      <c r="K557" s="10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 spans="2:37" x14ac:dyDescent="0.25">
      <c r="B558" s="12"/>
      <c r="C558" s="10"/>
      <c r="D558" s="10"/>
      <c r="E558" s="10"/>
      <c r="F558" s="10"/>
      <c r="G558" s="10"/>
      <c r="H558" s="10"/>
      <c r="I558" s="10"/>
      <c r="J558" s="10"/>
      <c r="K558" s="10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 spans="2:37" x14ac:dyDescent="0.25">
      <c r="B559" s="12"/>
      <c r="C559" s="10"/>
      <c r="D559" s="10"/>
      <c r="E559" s="10"/>
      <c r="F559" s="10"/>
      <c r="G559" s="10"/>
      <c r="H559" s="10"/>
      <c r="I559" s="10"/>
      <c r="J559" s="10"/>
      <c r="K559" s="10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 spans="2:37" x14ac:dyDescent="0.25">
      <c r="B560" s="12"/>
      <c r="C560" s="10"/>
      <c r="D560" s="10"/>
      <c r="E560" s="10"/>
      <c r="F560" s="10"/>
      <c r="G560" s="10"/>
      <c r="H560" s="10"/>
      <c r="I560" s="10"/>
      <c r="J560" s="10"/>
      <c r="K560" s="10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 spans="2:37" x14ac:dyDescent="0.25">
      <c r="B561" s="12"/>
      <c r="C561" s="10"/>
      <c r="D561" s="10"/>
      <c r="E561" s="10"/>
      <c r="F561" s="10"/>
      <c r="G561" s="10"/>
      <c r="H561" s="10"/>
      <c r="I561" s="10"/>
      <c r="J561" s="10"/>
      <c r="K561" s="10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 spans="2:37" x14ac:dyDescent="0.25">
      <c r="B562" s="12"/>
      <c r="C562" s="10"/>
      <c r="D562" s="10"/>
      <c r="E562" s="10"/>
      <c r="F562" s="10"/>
      <c r="G562" s="10"/>
      <c r="H562" s="10"/>
      <c r="I562" s="10"/>
      <c r="J562" s="10"/>
      <c r="K562" s="10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 spans="2:37" x14ac:dyDescent="0.25">
      <c r="B563" s="12"/>
      <c r="C563" s="10"/>
      <c r="D563" s="10"/>
      <c r="E563" s="10"/>
      <c r="F563" s="10"/>
      <c r="G563" s="10"/>
      <c r="H563" s="10"/>
      <c r="I563" s="10"/>
      <c r="J563" s="10"/>
      <c r="K563" s="10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 spans="2:37" x14ac:dyDescent="0.25">
      <c r="B564" s="12"/>
      <c r="C564" s="10"/>
      <c r="D564" s="10"/>
      <c r="E564" s="10"/>
      <c r="F564" s="10"/>
      <c r="G564" s="10"/>
      <c r="H564" s="10"/>
      <c r="I564" s="10"/>
      <c r="J564" s="10"/>
      <c r="K564" s="10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 spans="2:37" x14ac:dyDescent="0.25">
      <c r="B565" s="12"/>
      <c r="C565" s="10"/>
      <c r="D565" s="10"/>
      <c r="E565" s="10"/>
      <c r="F565" s="10"/>
      <c r="G565" s="10"/>
      <c r="H565" s="10"/>
      <c r="I565" s="10"/>
      <c r="J565" s="10"/>
      <c r="K565" s="10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 spans="2:37" x14ac:dyDescent="0.25">
      <c r="B566" s="12"/>
      <c r="C566" s="10"/>
      <c r="D566" s="10"/>
      <c r="E566" s="10"/>
      <c r="F566" s="10"/>
      <c r="G566" s="10"/>
      <c r="H566" s="10"/>
      <c r="I566" s="10"/>
      <c r="J566" s="10"/>
      <c r="K566" s="10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 spans="2:37" x14ac:dyDescent="0.25">
      <c r="B567" s="12"/>
      <c r="C567" s="10"/>
      <c r="D567" s="10"/>
      <c r="E567" s="10"/>
      <c r="F567" s="10"/>
      <c r="G567" s="10"/>
      <c r="H567" s="10"/>
      <c r="I567" s="10"/>
      <c r="J567" s="10"/>
      <c r="K567" s="10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 spans="2:37" x14ac:dyDescent="0.25">
      <c r="B568" s="12"/>
      <c r="C568" s="10"/>
      <c r="D568" s="10"/>
      <c r="E568" s="10"/>
      <c r="F568" s="10"/>
      <c r="G568" s="10"/>
      <c r="H568" s="10"/>
      <c r="I568" s="10"/>
      <c r="J568" s="10"/>
      <c r="K568" s="10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 spans="2:37" x14ac:dyDescent="0.25">
      <c r="B569" s="12"/>
      <c r="C569" s="10"/>
      <c r="D569" s="10"/>
      <c r="E569" s="10"/>
      <c r="F569" s="10"/>
      <c r="G569" s="10"/>
      <c r="H569" s="10"/>
      <c r="I569" s="10"/>
      <c r="J569" s="10"/>
      <c r="K569" s="10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 spans="2:37" x14ac:dyDescent="0.25">
      <c r="B570" s="12"/>
      <c r="C570" s="10"/>
      <c r="D570" s="10"/>
      <c r="E570" s="10"/>
      <c r="F570" s="10"/>
      <c r="G570" s="10"/>
      <c r="H570" s="10"/>
      <c r="I570" s="10"/>
      <c r="J570" s="10"/>
      <c r="K570" s="10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 spans="2:37" x14ac:dyDescent="0.25">
      <c r="B571" s="12"/>
      <c r="C571" s="10"/>
      <c r="D571" s="10"/>
      <c r="E571" s="10"/>
      <c r="F571" s="10"/>
      <c r="G571" s="10"/>
      <c r="H571" s="10"/>
      <c r="I571" s="10"/>
      <c r="J571" s="10"/>
      <c r="K571" s="10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 spans="2:37" x14ac:dyDescent="0.25">
      <c r="B572" s="12"/>
      <c r="C572" s="10"/>
      <c r="D572" s="10"/>
      <c r="E572" s="10"/>
      <c r="F572" s="10"/>
      <c r="G572" s="10"/>
      <c r="H572" s="10"/>
      <c r="I572" s="10"/>
      <c r="J572" s="10"/>
      <c r="K572" s="10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 spans="2:37" x14ac:dyDescent="0.25">
      <c r="B573" s="12"/>
      <c r="C573" s="10"/>
      <c r="D573" s="10"/>
      <c r="E573" s="10"/>
      <c r="F573" s="10"/>
      <c r="G573" s="10"/>
      <c r="H573" s="10"/>
      <c r="I573" s="10"/>
      <c r="J573" s="10"/>
      <c r="K573" s="10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 spans="2:37" x14ac:dyDescent="0.25">
      <c r="B574" s="12"/>
      <c r="C574" s="10"/>
      <c r="D574" s="10"/>
      <c r="E574" s="10"/>
      <c r="F574" s="10"/>
      <c r="G574" s="10"/>
      <c r="H574" s="10"/>
      <c r="I574" s="10"/>
      <c r="J574" s="10"/>
      <c r="K574" s="10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 spans="2:37" x14ac:dyDescent="0.25">
      <c r="B575" s="12"/>
      <c r="C575" s="10"/>
      <c r="D575" s="10"/>
      <c r="E575" s="10"/>
      <c r="F575" s="10"/>
      <c r="G575" s="10"/>
      <c r="H575" s="10"/>
      <c r="I575" s="10"/>
      <c r="J575" s="10"/>
      <c r="K575" s="10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 spans="2:37" x14ac:dyDescent="0.25">
      <c r="B576" s="12"/>
      <c r="C576" s="10"/>
      <c r="D576" s="10"/>
      <c r="E576" s="10"/>
      <c r="F576" s="10"/>
      <c r="G576" s="10"/>
      <c r="H576" s="10"/>
      <c r="I576" s="10"/>
      <c r="J576" s="10"/>
      <c r="K576" s="10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 spans="2:37" x14ac:dyDescent="0.25">
      <c r="B577" s="12"/>
      <c r="C577" s="10"/>
      <c r="D577" s="10"/>
      <c r="E577" s="10"/>
      <c r="F577" s="10"/>
      <c r="G577" s="10"/>
      <c r="H577" s="10"/>
      <c r="I577" s="10"/>
      <c r="J577" s="10"/>
      <c r="K577" s="10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 spans="2:37" x14ac:dyDescent="0.25">
      <c r="B578" s="12"/>
      <c r="C578" s="10"/>
      <c r="D578" s="10"/>
      <c r="E578" s="10"/>
      <c r="F578" s="10"/>
      <c r="G578" s="10"/>
      <c r="H578" s="10"/>
      <c r="I578" s="10"/>
      <c r="J578" s="10"/>
      <c r="K578" s="10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 spans="2:37" x14ac:dyDescent="0.25">
      <c r="B579" s="12"/>
      <c r="C579" s="10"/>
      <c r="D579" s="10"/>
      <c r="E579" s="10"/>
      <c r="F579" s="10"/>
      <c r="G579" s="10"/>
      <c r="H579" s="10"/>
      <c r="I579" s="10"/>
      <c r="J579" s="10"/>
      <c r="K579" s="10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 spans="2:37" x14ac:dyDescent="0.25">
      <c r="B580" s="12"/>
      <c r="C580" s="10"/>
      <c r="D580" s="10"/>
      <c r="E580" s="10"/>
      <c r="F580" s="10"/>
      <c r="G580" s="10"/>
      <c r="H580" s="10"/>
      <c r="I580" s="10"/>
      <c r="J580" s="10"/>
      <c r="K580" s="10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 spans="2:37" x14ac:dyDescent="0.25">
      <c r="B581" s="12"/>
      <c r="C581" s="10"/>
      <c r="D581" s="10"/>
      <c r="E581" s="10"/>
      <c r="F581" s="10"/>
      <c r="G581" s="10"/>
      <c r="H581" s="10"/>
      <c r="I581" s="10"/>
      <c r="J581" s="10"/>
      <c r="K581" s="10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 spans="2:37" x14ac:dyDescent="0.25">
      <c r="B582" s="12"/>
      <c r="C582" s="10"/>
      <c r="D582" s="10"/>
      <c r="E582" s="10"/>
      <c r="F582" s="10"/>
      <c r="G582" s="10"/>
      <c r="H582" s="10"/>
      <c r="I582" s="10"/>
      <c r="J582" s="10"/>
      <c r="K582" s="10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 spans="2:37" x14ac:dyDescent="0.25">
      <c r="B583" s="12"/>
      <c r="C583" s="10"/>
      <c r="D583" s="10"/>
      <c r="E583" s="10"/>
      <c r="F583" s="10"/>
      <c r="G583" s="10"/>
      <c r="H583" s="10"/>
      <c r="I583" s="10"/>
      <c r="J583" s="10"/>
      <c r="K583" s="10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 spans="2:37" x14ac:dyDescent="0.25">
      <c r="B584" s="12"/>
      <c r="C584" s="10"/>
      <c r="D584" s="10"/>
      <c r="E584" s="10"/>
      <c r="F584" s="10"/>
      <c r="G584" s="10"/>
      <c r="H584" s="10"/>
      <c r="I584" s="10"/>
      <c r="J584" s="10"/>
      <c r="K584" s="10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 spans="2:37" x14ac:dyDescent="0.25">
      <c r="B585" s="12"/>
      <c r="C585" s="10"/>
      <c r="D585" s="10"/>
      <c r="E585" s="10"/>
      <c r="F585" s="10"/>
      <c r="G585" s="10"/>
      <c r="H585" s="10"/>
      <c r="I585" s="10"/>
      <c r="J585" s="10"/>
      <c r="K585" s="10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 spans="2:37" x14ac:dyDescent="0.25">
      <c r="B586" s="12"/>
      <c r="C586" s="10"/>
      <c r="D586" s="10"/>
      <c r="E586" s="10"/>
      <c r="F586" s="10"/>
      <c r="G586" s="10"/>
      <c r="H586" s="10"/>
      <c r="I586" s="10"/>
      <c r="J586" s="10"/>
      <c r="K586" s="10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 spans="2:37" x14ac:dyDescent="0.25">
      <c r="B587" s="12"/>
      <c r="C587" s="10"/>
      <c r="D587" s="10"/>
      <c r="E587" s="10"/>
      <c r="F587" s="10"/>
      <c r="G587" s="10"/>
      <c r="H587" s="10"/>
      <c r="I587" s="10"/>
      <c r="J587" s="10"/>
      <c r="K587" s="10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 spans="2:37" x14ac:dyDescent="0.25">
      <c r="B588" s="12"/>
      <c r="C588" s="10"/>
      <c r="D588" s="10"/>
      <c r="E588" s="10"/>
      <c r="F588" s="10"/>
      <c r="G588" s="10"/>
      <c r="H588" s="10"/>
      <c r="I588" s="10"/>
      <c r="J588" s="10"/>
      <c r="K588" s="10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 spans="2:37" x14ac:dyDescent="0.25">
      <c r="B589" s="12"/>
      <c r="C589" s="10"/>
      <c r="D589" s="10"/>
      <c r="E589" s="10"/>
      <c r="F589" s="10"/>
      <c r="G589" s="10"/>
      <c r="H589" s="10"/>
      <c r="I589" s="10"/>
      <c r="J589" s="10"/>
      <c r="K589" s="10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 spans="2:37" x14ac:dyDescent="0.25">
      <c r="B590" s="12"/>
      <c r="C590" s="10"/>
      <c r="D590" s="10"/>
      <c r="E590" s="10"/>
      <c r="F590" s="10"/>
      <c r="G590" s="10"/>
      <c r="H590" s="10"/>
      <c r="I590" s="10"/>
      <c r="J590" s="10"/>
      <c r="K590" s="10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 spans="2:37" x14ac:dyDescent="0.25">
      <c r="B591" s="12"/>
      <c r="C591" s="10"/>
      <c r="D591" s="10"/>
      <c r="E591" s="10"/>
      <c r="F591" s="10"/>
      <c r="G591" s="10"/>
      <c r="H591" s="10"/>
      <c r="I591" s="10"/>
      <c r="J591" s="10"/>
      <c r="K591" s="10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 spans="2:37" x14ac:dyDescent="0.25">
      <c r="B592" s="12"/>
      <c r="C592" s="10"/>
      <c r="D592" s="10"/>
      <c r="E592" s="10"/>
      <c r="F592" s="10"/>
      <c r="G592" s="10"/>
      <c r="H592" s="10"/>
      <c r="I592" s="10"/>
      <c r="J592" s="10"/>
      <c r="K592" s="10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 spans="2:37" x14ac:dyDescent="0.25">
      <c r="B593" s="12"/>
      <c r="C593" s="10"/>
      <c r="D593" s="10"/>
      <c r="E593" s="10"/>
      <c r="F593" s="10"/>
      <c r="G593" s="10"/>
      <c r="H593" s="10"/>
      <c r="I593" s="10"/>
      <c r="J593" s="10"/>
      <c r="K593" s="10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 spans="2:37" x14ac:dyDescent="0.25">
      <c r="B594" s="12"/>
      <c r="C594" s="10"/>
      <c r="D594" s="10"/>
      <c r="E594" s="10"/>
      <c r="F594" s="10"/>
      <c r="G594" s="10"/>
      <c r="H594" s="10"/>
      <c r="I594" s="10"/>
      <c r="J594" s="10"/>
      <c r="K594" s="10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 spans="2:37" x14ac:dyDescent="0.25">
      <c r="B595" s="12"/>
      <c r="C595" s="10"/>
      <c r="D595" s="10"/>
      <c r="E595" s="10"/>
      <c r="F595" s="10"/>
      <c r="G595" s="10"/>
      <c r="H595" s="10"/>
      <c r="I595" s="10"/>
      <c r="J595" s="10"/>
      <c r="K595" s="10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 spans="2:37" x14ac:dyDescent="0.25">
      <c r="B596" s="12"/>
      <c r="C596" s="10"/>
      <c r="D596" s="10"/>
      <c r="E596" s="10"/>
      <c r="F596" s="10"/>
      <c r="G596" s="10"/>
      <c r="H596" s="10"/>
      <c r="I596" s="10"/>
      <c r="J596" s="10"/>
      <c r="K596" s="10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 spans="2:37" x14ac:dyDescent="0.25">
      <c r="B597" s="12"/>
      <c r="C597" s="10"/>
      <c r="D597" s="10"/>
      <c r="E597" s="10"/>
      <c r="F597" s="10"/>
      <c r="G597" s="10"/>
      <c r="H597" s="10"/>
      <c r="I597" s="10"/>
      <c r="J597" s="10"/>
      <c r="K597" s="10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 spans="2:37" x14ac:dyDescent="0.25">
      <c r="B598" s="12"/>
      <c r="C598" s="10"/>
      <c r="D598" s="10"/>
      <c r="E598" s="10"/>
      <c r="F598" s="10"/>
      <c r="G598" s="10"/>
      <c r="H598" s="10"/>
      <c r="I598" s="10"/>
      <c r="J598" s="10"/>
      <c r="K598" s="10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 spans="2:37" x14ac:dyDescent="0.25">
      <c r="B599" s="12"/>
      <c r="C599" s="10"/>
      <c r="D599" s="10"/>
      <c r="E599" s="10"/>
      <c r="F599" s="10"/>
      <c r="G599" s="10"/>
      <c r="H599" s="10"/>
      <c r="I599" s="10"/>
      <c r="J599" s="10"/>
      <c r="K599" s="10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 spans="2:37" x14ac:dyDescent="0.25">
      <c r="B600" s="12"/>
      <c r="C600" s="10"/>
      <c r="D600" s="10"/>
      <c r="E600" s="10"/>
      <c r="F600" s="10"/>
      <c r="G600" s="10"/>
      <c r="H600" s="10"/>
      <c r="I600" s="10"/>
      <c r="J600" s="10"/>
      <c r="K600" s="10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 spans="2:37" x14ac:dyDescent="0.25">
      <c r="B601" s="12"/>
      <c r="C601" s="10"/>
      <c r="D601" s="10"/>
      <c r="E601" s="10"/>
      <c r="F601" s="10"/>
      <c r="G601" s="10"/>
      <c r="H601" s="10"/>
      <c r="I601" s="10"/>
      <c r="J601" s="10"/>
      <c r="K601" s="10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 spans="2:37" x14ac:dyDescent="0.25">
      <c r="B602" s="12"/>
      <c r="C602" s="10"/>
      <c r="D602" s="10"/>
      <c r="E602" s="10"/>
      <c r="F602" s="10"/>
      <c r="G602" s="10"/>
      <c r="H602" s="10"/>
      <c r="I602" s="10"/>
      <c r="J602" s="10"/>
      <c r="K602" s="10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 spans="2:37" x14ac:dyDescent="0.25">
      <c r="B603" s="12"/>
      <c r="C603" s="10"/>
      <c r="D603" s="10"/>
      <c r="E603" s="10"/>
      <c r="F603" s="10"/>
      <c r="G603" s="10"/>
      <c r="H603" s="10"/>
      <c r="I603" s="10"/>
      <c r="J603" s="10"/>
      <c r="K603" s="10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 spans="2:37" x14ac:dyDescent="0.25">
      <c r="B604" s="12"/>
      <c r="C604" s="10"/>
      <c r="D604" s="10"/>
      <c r="E604" s="10"/>
      <c r="F604" s="10"/>
      <c r="G604" s="10"/>
      <c r="H604" s="10"/>
      <c r="I604" s="10"/>
      <c r="J604" s="10"/>
      <c r="K604" s="10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 spans="2:37" x14ac:dyDescent="0.25">
      <c r="B605" s="12"/>
      <c r="C605" s="10"/>
      <c r="D605" s="10"/>
      <c r="E605" s="10"/>
      <c r="F605" s="10"/>
      <c r="G605" s="10"/>
      <c r="H605" s="10"/>
      <c r="I605" s="10"/>
      <c r="J605" s="10"/>
      <c r="K605" s="10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 spans="2:37" x14ac:dyDescent="0.25">
      <c r="B606" s="12"/>
      <c r="C606" s="10"/>
      <c r="D606" s="10"/>
      <c r="E606" s="10"/>
      <c r="F606" s="10"/>
      <c r="G606" s="10"/>
      <c r="H606" s="10"/>
      <c r="I606" s="10"/>
      <c r="J606" s="10"/>
      <c r="K606" s="10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 spans="2:37" x14ac:dyDescent="0.25">
      <c r="B607" s="12"/>
      <c r="C607" s="10"/>
      <c r="D607" s="10"/>
      <c r="E607" s="10"/>
      <c r="F607" s="10"/>
      <c r="G607" s="10"/>
      <c r="H607" s="10"/>
      <c r="I607" s="10"/>
      <c r="J607" s="10"/>
      <c r="K607" s="10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 spans="2:37" x14ac:dyDescent="0.25">
      <c r="B608" s="12"/>
      <c r="C608" s="10"/>
      <c r="D608" s="10"/>
      <c r="E608" s="10"/>
      <c r="F608" s="10"/>
      <c r="G608" s="10"/>
      <c r="H608" s="10"/>
      <c r="I608" s="10"/>
      <c r="J608" s="10"/>
      <c r="K608" s="10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 spans="2:37" x14ac:dyDescent="0.25">
      <c r="B609" s="12"/>
      <c r="C609" s="10"/>
      <c r="D609" s="10"/>
      <c r="E609" s="10"/>
      <c r="F609" s="10"/>
      <c r="G609" s="10"/>
      <c r="H609" s="10"/>
      <c r="I609" s="10"/>
      <c r="J609" s="10"/>
      <c r="K609" s="10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 spans="2:37" x14ac:dyDescent="0.25">
      <c r="B610" s="12"/>
      <c r="C610" s="10"/>
      <c r="D610" s="10"/>
      <c r="E610" s="10"/>
      <c r="F610" s="10"/>
      <c r="G610" s="10"/>
      <c r="H610" s="10"/>
      <c r="I610" s="10"/>
      <c r="J610" s="10"/>
      <c r="K610" s="10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 spans="2:37" x14ac:dyDescent="0.25">
      <c r="B611" s="12"/>
      <c r="C611" s="10"/>
      <c r="D611" s="10"/>
      <c r="E611" s="10"/>
      <c r="F611" s="10"/>
      <c r="G611" s="10"/>
      <c r="H611" s="10"/>
      <c r="I611" s="10"/>
      <c r="J611" s="10"/>
      <c r="K611" s="10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 spans="2:37" x14ac:dyDescent="0.25">
      <c r="B612" s="12"/>
      <c r="C612" s="10"/>
      <c r="D612" s="10"/>
      <c r="E612" s="10"/>
      <c r="F612" s="10"/>
      <c r="G612" s="10"/>
      <c r="H612" s="10"/>
      <c r="I612" s="10"/>
      <c r="J612" s="10"/>
      <c r="K612" s="10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 spans="2:37" x14ac:dyDescent="0.25">
      <c r="B613" s="12"/>
      <c r="C613" s="10"/>
      <c r="D613" s="10"/>
      <c r="E613" s="10"/>
      <c r="F613" s="10"/>
      <c r="G613" s="10"/>
      <c r="H613" s="10"/>
      <c r="I613" s="10"/>
      <c r="J613" s="10"/>
      <c r="K613" s="10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 spans="2:37" x14ac:dyDescent="0.25">
      <c r="B614" s="12"/>
      <c r="C614" s="10"/>
      <c r="D614" s="10"/>
      <c r="E614" s="10"/>
      <c r="F614" s="10"/>
      <c r="G614" s="10"/>
      <c r="H614" s="10"/>
      <c r="I614" s="10"/>
      <c r="J614" s="10"/>
      <c r="K614" s="10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 spans="2:37" x14ac:dyDescent="0.25">
      <c r="B615" s="12"/>
      <c r="C615" s="10"/>
      <c r="D615" s="10"/>
      <c r="E615" s="10"/>
      <c r="F615" s="10"/>
      <c r="G615" s="10"/>
      <c r="H615" s="10"/>
      <c r="I615" s="10"/>
      <c r="J615" s="10"/>
      <c r="K615" s="10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 spans="2:37" x14ac:dyDescent="0.25">
      <c r="B616" s="12"/>
      <c r="C616" s="10"/>
      <c r="D616" s="10"/>
      <c r="E616" s="10"/>
      <c r="F616" s="10"/>
      <c r="G616" s="10"/>
      <c r="H616" s="10"/>
      <c r="I616" s="10"/>
      <c r="J616" s="10"/>
      <c r="K616" s="10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 spans="2:37" x14ac:dyDescent="0.25">
      <c r="B617" s="12"/>
      <c r="C617" s="10"/>
      <c r="D617" s="10"/>
      <c r="E617" s="10"/>
      <c r="F617" s="10"/>
      <c r="G617" s="10"/>
      <c r="H617" s="10"/>
      <c r="I617" s="10"/>
      <c r="J617" s="10"/>
      <c r="K617" s="10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 spans="2:37" x14ac:dyDescent="0.25">
      <c r="B618" s="12"/>
      <c r="C618" s="10"/>
      <c r="D618" s="10"/>
      <c r="E618" s="10"/>
      <c r="F618" s="10"/>
      <c r="G618" s="10"/>
      <c r="H618" s="10"/>
      <c r="I618" s="10"/>
      <c r="J618" s="10"/>
      <c r="K618" s="10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 spans="2:37" x14ac:dyDescent="0.25">
      <c r="B619" s="12"/>
      <c r="C619" s="10"/>
      <c r="D619" s="10"/>
      <c r="E619" s="10"/>
      <c r="F619" s="10"/>
      <c r="G619" s="10"/>
      <c r="H619" s="10"/>
      <c r="I619" s="10"/>
      <c r="J619" s="10"/>
      <c r="K619" s="10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 spans="2:37" x14ac:dyDescent="0.25">
      <c r="B620" s="12"/>
      <c r="C620" s="10"/>
      <c r="D620" s="10"/>
      <c r="E620" s="10"/>
      <c r="F620" s="10"/>
      <c r="G620" s="10"/>
      <c r="H620" s="10"/>
      <c r="I620" s="10"/>
      <c r="J620" s="10"/>
      <c r="K620" s="10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 spans="2:37" x14ac:dyDescent="0.25">
      <c r="B621" s="12"/>
      <c r="C621" s="10"/>
      <c r="D621" s="10"/>
      <c r="E621" s="10"/>
      <c r="F621" s="10"/>
      <c r="G621" s="10"/>
      <c r="H621" s="10"/>
      <c r="I621" s="10"/>
      <c r="J621" s="10"/>
      <c r="K621" s="10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 spans="2:37" x14ac:dyDescent="0.25">
      <c r="B622" s="12"/>
      <c r="C622" s="10"/>
      <c r="D622" s="10"/>
      <c r="E622" s="10"/>
      <c r="F622" s="10"/>
      <c r="G622" s="10"/>
      <c r="H622" s="10"/>
      <c r="I622" s="10"/>
      <c r="J622" s="10"/>
      <c r="K622" s="10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 spans="2:37" x14ac:dyDescent="0.25">
      <c r="B623" s="12"/>
      <c r="C623" s="10"/>
      <c r="D623" s="10"/>
      <c r="E623" s="10"/>
      <c r="F623" s="10"/>
      <c r="G623" s="10"/>
      <c r="H623" s="10"/>
      <c r="I623" s="10"/>
      <c r="J623" s="10"/>
      <c r="K623" s="10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 spans="2:37" x14ac:dyDescent="0.25">
      <c r="B624" s="12"/>
      <c r="C624" s="10"/>
      <c r="D624" s="10"/>
      <c r="E624" s="10"/>
      <c r="F624" s="10"/>
      <c r="G624" s="10"/>
      <c r="H624" s="10"/>
      <c r="I624" s="10"/>
      <c r="J624" s="10"/>
      <c r="K624" s="10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 spans="2:37" x14ac:dyDescent="0.25">
      <c r="B625" s="12"/>
      <c r="C625" s="10"/>
      <c r="D625" s="10"/>
      <c r="E625" s="10"/>
      <c r="F625" s="10"/>
      <c r="G625" s="10"/>
      <c r="H625" s="10"/>
      <c r="I625" s="10"/>
      <c r="J625" s="10"/>
      <c r="K625" s="10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 spans="2:37" x14ac:dyDescent="0.25">
      <c r="B626" s="12"/>
      <c r="C626" s="10"/>
      <c r="D626" s="10"/>
      <c r="E626" s="10"/>
      <c r="F626" s="10"/>
      <c r="G626" s="10"/>
      <c r="H626" s="10"/>
      <c r="I626" s="10"/>
      <c r="J626" s="10"/>
      <c r="K626" s="10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 spans="2:37" x14ac:dyDescent="0.25">
      <c r="B627" s="12"/>
      <c r="C627" s="10"/>
      <c r="D627" s="10"/>
      <c r="E627" s="10"/>
      <c r="F627" s="10"/>
      <c r="G627" s="10"/>
      <c r="H627" s="10"/>
      <c r="I627" s="10"/>
      <c r="J627" s="10"/>
      <c r="K627" s="10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 spans="2:37" x14ac:dyDescent="0.25">
      <c r="B628" s="12"/>
      <c r="C628" s="10"/>
      <c r="D628" s="10"/>
      <c r="E628" s="10"/>
      <c r="F628" s="10"/>
      <c r="G628" s="10"/>
      <c r="H628" s="10"/>
      <c r="I628" s="10"/>
      <c r="J628" s="10"/>
      <c r="K628" s="10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 spans="2:37" x14ac:dyDescent="0.25">
      <c r="B629" s="12"/>
      <c r="C629" s="10"/>
      <c r="D629" s="10"/>
      <c r="E629" s="10"/>
      <c r="F629" s="10"/>
      <c r="G629" s="10"/>
      <c r="H629" s="10"/>
      <c r="I629" s="10"/>
      <c r="J629" s="10"/>
      <c r="K629" s="10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 spans="2:37" x14ac:dyDescent="0.25">
      <c r="B630" s="12"/>
      <c r="C630" s="10"/>
      <c r="D630" s="10"/>
      <c r="E630" s="10"/>
      <c r="F630" s="10"/>
      <c r="G630" s="10"/>
      <c r="H630" s="10"/>
      <c r="I630" s="10"/>
      <c r="J630" s="10"/>
      <c r="K630" s="10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 spans="2:37" x14ac:dyDescent="0.25">
      <c r="B631" s="12"/>
      <c r="C631" s="10"/>
      <c r="D631" s="10"/>
      <c r="E631" s="10"/>
      <c r="F631" s="10"/>
      <c r="G631" s="10"/>
      <c r="H631" s="10"/>
      <c r="I631" s="10"/>
      <c r="J631" s="10"/>
      <c r="K631" s="10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 spans="2:37" x14ac:dyDescent="0.25">
      <c r="B632" s="12"/>
      <c r="C632" s="10"/>
      <c r="D632" s="10"/>
      <c r="E632" s="10"/>
      <c r="F632" s="10"/>
      <c r="G632" s="10"/>
      <c r="H632" s="10"/>
      <c r="I632" s="10"/>
      <c r="J632" s="10"/>
      <c r="K632" s="10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 spans="2:37" x14ac:dyDescent="0.25">
      <c r="B633" s="12"/>
      <c r="C633" s="10"/>
      <c r="D633" s="10"/>
      <c r="E633" s="10"/>
      <c r="F633" s="10"/>
      <c r="G633" s="10"/>
      <c r="H633" s="10"/>
      <c r="I633" s="10"/>
      <c r="J633" s="10"/>
      <c r="K633" s="10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 spans="2:37" x14ac:dyDescent="0.25">
      <c r="B634" s="12"/>
      <c r="C634" s="10"/>
      <c r="D634" s="10"/>
      <c r="E634" s="10"/>
      <c r="F634" s="10"/>
      <c r="G634" s="10"/>
      <c r="H634" s="10"/>
      <c r="I634" s="10"/>
      <c r="J634" s="10"/>
      <c r="K634" s="10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 spans="2:37" x14ac:dyDescent="0.25">
      <c r="B635" s="12"/>
      <c r="C635" s="10"/>
      <c r="D635" s="10"/>
      <c r="E635" s="10"/>
      <c r="F635" s="10"/>
      <c r="G635" s="10"/>
      <c r="H635" s="10"/>
      <c r="I635" s="10"/>
      <c r="J635" s="10"/>
      <c r="K635" s="10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 spans="2:37" x14ac:dyDescent="0.25">
      <c r="B636" s="12"/>
      <c r="C636" s="10"/>
      <c r="D636" s="10"/>
      <c r="E636" s="10"/>
      <c r="F636" s="10"/>
      <c r="G636" s="10"/>
      <c r="H636" s="10"/>
      <c r="I636" s="10"/>
      <c r="J636" s="10"/>
      <c r="K636" s="10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 spans="2:37" x14ac:dyDescent="0.25">
      <c r="B637" s="12"/>
      <c r="C637" s="10"/>
      <c r="D637" s="10"/>
      <c r="E637" s="10"/>
      <c r="F637" s="10"/>
      <c r="G637" s="10"/>
      <c r="H637" s="10"/>
      <c r="I637" s="10"/>
      <c r="J637" s="10"/>
      <c r="K637" s="10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 spans="2:37" x14ac:dyDescent="0.25">
      <c r="B638" s="12"/>
      <c r="C638" s="10"/>
      <c r="D638" s="10"/>
      <c r="E638" s="10"/>
      <c r="F638" s="10"/>
      <c r="G638" s="10"/>
      <c r="H638" s="10"/>
      <c r="I638" s="10"/>
      <c r="J638" s="10"/>
      <c r="K638" s="10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 spans="2:37" x14ac:dyDescent="0.25">
      <c r="B639" s="12"/>
      <c r="C639" s="10"/>
      <c r="D639" s="10"/>
      <c r="E639" s="10"/>
      <c r="F639" s="10"/>
      <c r="G639" s="10"/>
      <c r="H639" s="10"/>
      <c r="I639" s="10"/>
      <c r="J639" s="10"/>
      <c r="K639" s="10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spans="2:37" x14ac:dyDescent="0.25">
      <c r="B640" s="12"/>
      <c r="C640" s="10"/>
      <c r="D640" s="10"/>
      <c r="E640" s="10"/>
      <c r="F640" s="10"/>
      <c r="G640" s="10"/>
      <c r="H640" s="10"/>
      <c r="I640" s="10"/>
      <c r="J640" s="10"/>
      <c r="K640" s="10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 spans="2:37" x14ac:dyDescent="0.25">
      <c r="B641" s="12"/>
      <c r="C641" s="10"/>
      <c r="D641" s="10"/>
      <c r="E641" s="10"/>
      <c r="F641" s="10"/>
      <c r="G641" s="10"/>
      <c r="H641" s="10"/>
      <c r="I641" s="10"/>
      <c r="J641" s="10"/>
      <c r="K641" s="10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 spans="2:37" x14ac:dyDescent="0.25">
      <c r="B642" s="12"/>
      <c r="C642" s="10"/>
      <c r="D642" s="10"/>
      <c r="E642" s="10"/>
      <c r="F642" s="10"/>
      <c r="G642" s="10"/>
      <c r="H642" s="10"/>
      <c r="I642" s="10"/>
      <c r="J642" s="10"/>
      <c r="K642" s="10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 spans="2:37" x14ac:dyDescent="0.25">
      <c r="B643" s="12"/>
      <c r="C643" s="10"/>
      <c r="D643" s="10"/>
      <c r="E643" s="10"/>
      <c r="F643" s="10"/>
      <c r="G643" s="10"/>
      <c r="H643" s="10"/>
      <c r="I643" s="10"/>
      <c r="J643" s="10"/>
      <c r="K643" s="10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 spans="2:37" x14ac:dyDescent="0.25">
      <c r="B644" s="12"/>
      <c r="C644" s="10"/>
      <c r="D644" s="10"/>
      <c r="E644" s="10"/>
      <c r="F644" s="10"/>
      <c r="G644" s="10"/>
      <c r="H644" s="10"/>
      <c r="I644" s="10"/>
      <c r="J644" s="10"/>
      <c r="K644" s="10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 spans="2:37" x14ac:dyDescent="0.25">
      <c r="B645" s="12"/>
      <c r="C645" s="10"/>
      <c r="D645" s="10"/>
      <c r="E645" s="10"/>
      <c r="F645" s="10"/>
      <c r="G645" s="10"/>
      <c r="H645" s="10"/>
      <c r="I645" s="10"/>
      <c r="J645" s="10"/>
      <c r="K645" s="10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 spans="2:37" x14ac:dyDescent="0.25">
      <c r="B646" s="12"/>
      <c r="C646" s="10"/>
      <c r="D646" s="10"/>
      <c r="E646" s="10"/>
      <c r="F646" s="10"/>
      <c r="G646" s="10"/>
      <c r="H646" s="10"/>
      <c r="I646" s="10"/>
      <c r="J646" s="10"/>
      <c r="K646" s="10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spans="2:37" x14ac:dyDescent="0.25">
      <c r="B647" s="12"/>
      <c r="C647" s="10"/>
      <c r="D647" s="10"/>
      <c r="E647" s="10"/>
      <c r="F647" s="10"/>
      <c r="G647" s="10"/>
      <c r="H647" s="10"/>
      <c r="I647" s="10"/>
      <c r="J647" s="10"/>
      <c r="K647" s="10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spans="2:37" x14ac:dyDescent="0.25">
      <c r="B648" s="12"/>
      <c r="C648" s="10"/>
      <c r="D648" s="10"/>
      <c r="E648" s="10"/>
      <c r="F648" s="10"/>
      <c r="G648" s="10"/>
      <c r="H648" s="10"/>
      <c r="I648" s="10"/>
      <c r="J648" s="10"/>
      <c r="K648" s="10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spans="2:37" x14ac:dyDescent="0.25">
      <c r="B649" s="12"/>
      <c r="C649" s="10"/>
      <c r="D649" s="10"/>
      <c r="E649" s="10"/>
      <c r="F649" s="10"/>
      <c r="G649" s="10"/>
      <c r="H649" s="10"/>
      <c r="I649" s="10"/>
      <c r="J649" s="10"/>
      <c r="K649" s="10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spans="2:37" x14ac:dyDescent="0.25">
      <c r="B650" s="12"/>
      <c r="C650" s="10"/>
      <c r="D650" s="10"/>
      <c r="E650" s="10"/>
      <c r="F650" s="10"/>
      <c r="G650" s="10"/>
      <c r="H650" s="10"/>
      <c r="I650" s="10"/>
      <c r="J650" s="10"/>
      <c r="K650" s="10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spans="2:37" x14ac:dyDescent="0.25">
      <c r="B651" s="12"/>
      <c r="C651" s="10"/>
      <c r="D651" s="10"/>
      <c r="E651" s="10"/>
      <c r="F651" s="10"/>
      <c r="G651" s="10"/>
      <c r="H651" s="10"/>
      <c r="I651" s="10"/>
      <c r="J651" s="10"/>
      <c r="K651" s="10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 spans="2:37" x14ac:dyDescent="0.25">
      <c r="B652" s="12"/>
      <c r="C652" s="10"/>
      <c r="D652" s="10"/>
      <c r="E652" s="10"/>
      <c r="F652" s="10"/>
      <c r="G652" s="10"/>
      <c r="H652" s="10"/>
      <c r="I652" s="10"/>
      <c r="J652" s="10"/>
      <c r="K652" s="10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 spans="2:37" x14ac:dyDescent="0.25">
      <c r="B653" s="12"/>
      <c r="C653" s="10"/>
      <c r="D653" s="10"/>
      <c r="E653" s="10"/>
      <c r="F653" s="10"/>
      <c r="G653" s="10"/>
      <c r="H653" s="10"/>
      <c r="I653" s="10"/>
      <c r="J653" s="10"/>
      <c r="K653" s="10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 spans="2:37" x14ac:dyDescent="0.25">
      <c r="B654" s="12"/>
      <c r="C654" s="10"/>
      <c r="D654" s="10"/>
      <c r="E654" s="10"/>
      <c r="F654" s="10"/>
      <c r="G654" s="10"/>
      <c r="H654" s="10"/>
      <c r="I654" s="10"/>
      <c r="J654" s="10"/>
      <c r="K654" s="10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 spans="2:37" x14ac:dyDescent="0.25">
      <c r="B655" s="12"/>
      <c r="C655" s="10"/>
      <c r="D655" s="10"/>
      <c r="E655" s="10"/>
      <c r="F655" s="10"/>
      <c r="G655" s="10"/>
      <c r="H655" s="10"/>
      <c r="I655" s="10"/>
      <c r="J655" s="10"/>
      <c r="K655" s="10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 spans="2:37" x14ac:dyDescent="0.25">
      <c r="B656" s="12"/>
      <c r="C656" s="10"/>
      <c r="D656" s="10"/>
      <c r="E656" s="10"/>
      <c r="F656" s="10"/>
      <c r="G656" s="10"/>
      <c r="H656" s="10"/>
      <c r="I656" s="10"/>
      <c r="J656" s="10"/>
      <c r="K656" s="10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 spans="2:37" x14ac:dyDescent="0.25">
      <c r="B657" s="12"/>
      <c r="C657" s="10"/>
      <c r="D657" s="10"/>
      <c r="E657" s="10"/>
      <c r="F657" s="10"/>
      <c r="G657" s="10"/>
      <c r="H657" s="10"/>
      <c r="I657" s="10"/>
      <c r="J657" s="10"/>
      <c r="K657" s="10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 spans="2:37" x14ac:dyDescent="0.25">
      <c r="B658" s="12"/>
      <c r="C658" s="10"/>
      <c r="D658" s="10"/>
      <c r="E658" s="10"/>
      <c r="F658" s="10"/>
      <c r="G658" s="10"/>
      <c r="H658" s="10"/>
      <c r="I658" s="10"/>
      <c r="J658" s="10"/>
      <c r="K658" s="10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 spans="2:11" x14ac:dyDescent="0.25">
      <c r="B659" s="18"/>
      <c r="C659" s="19"/>
      <c r="D659" s="19"/>
      <c r="E659" s="19"/>
      <c r="F659" s="19"/>
      <c r="G659" s="19"/>
      <c r="H659" s="19"/>
      <c r="I659" s="19"/>
      <c r="J659" s="19"/>
      <c r="K659" s="19"/>
    </row>
  </sheetData>
  <sheetProtection sheet="1" algorithmName="SHA-512" hashValue="RnejKhc7Xyxy7Gs6qLcKADEltUAYAzMrHHtJBGzTQGzOAnHB/1aZr5jrKVWrqj1NdsOfXFH7v1cOh44V0XnJCg==" saltValue="iLXxN2ZW0GQSt5ELIyb0TQ==" spinCount="100000" objects="1" scenarios="1"/>
  <mergeCells count="1">
    <mergeCell ref="B2:L2"/>
  </mergeCells>
  <pageMargins left="0.31496062992125984" right="0.31496062992125984" top="0.5905511811023623" bottom="0.5905511811023623" header="0.31496062992125984" footer="0.31496062992125984"/>
  <pageSetup paperSize="9" orientation="portrait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ROTEIRO</vt:lpstr>
      <vt:lpstr>0</vt:lpstr>
      <vt:lpstr>1</vt:lpstr>
      <vt:lpstr>2</vt:lpstr>
      <vt:lpstr>FONTES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Jose Alves dos Santos</dc:creator>
  <dc:title/>
  <dc:subject/>
  <dc:description/>
  <cp:keywords/>
  <cp:category/>
  <cp:lastModifiedBy>Estevão Ferreira</cp:lastModifiedBy>
  <cp:contentStatus/>
  <dcterms:created xsi:type="dcterms:W3CDTF">2015-03-03T20:07:03Z</dcterms:created>
  <dcterms:modified xsi:type="dcterms:W3CDTF">2025-08-18T15:01:46Z</dcterms:modified>
</cp:coreProperties>
</file>