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A6" t="n">
        <v>1</v>
      </c>
      <c r="B6" s="62" t="n">
        <v>550</v>
      </c>
      <c r="C6" s="77" t="n">
        <v>10</v>
      </c>
      <c r="D6" s="239" t="inlineStr">
        <is>
          <t>JKM550M-72HL4-V</t>
        </is>
      </c>
      <c r="E6" s="419" t="n"/>
      <c r="F6" s="419" t="n"/>
      <c r="G6" s="420" t="n"/>
      <c r="H6" s="239" t="inlineStr">
        <is>
          <t>Quantidade</t>
        </is>
      </c>
      <c r="I6" s="419" t="n"/>
      <c r="J6" s="420" t="n"/>
      <c r="K6" s="171" t="inlineStr">
        <is>
          <t>Potência de Pico (kWp):</t>
        </is>
      </c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/>
      <c r="D7" s="421" t="n"/>
      <c r="E7" s="422" t="n"/>
      <c r="F7" s="422" t="n"/>
      <c r="G7" s="423" t="n"/>
      <c r="H7" s="421" t="n">
        <v>10</v>
      </c>
      <c r="I7" s="422" t="n"/>
      <c r="J7" s="423" t="n"/>
      <c r="K7" s="424">
        <f>IFERROR((D7*H7)/1000,"")</f>
        <v/>
      </c>
      <c r="L7" s="425" t="n"/>
      <c r="M7" s="425" t="n"/>
      <c r="N7" s="425" t="n"/>
      <c r="O7" s="426" t="n"/>
      <c r="P7" s="427" t="n">
        <v>30</v>
      </c>
      <c r="Q7" s="422" t="n"/>
      <c r="R7" s="422" t="n"/>
      <c r="S7" s="423" t="n"/>
      <c r="T7" s="428" t="inlineStr">
        <is>
          <t>HONOR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HY-M12/132G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/>
      <c r="D8" s="421" t="n"/>
      <c r="E8" s="422" t="n"/>
      <c r="F8" s="422" t="n"/>
      <c r="G8" s="423" t="n"/>
      <c r="H8" s="421" t="n"/>
      <c r="I8" s="422" t="n"/>
      <c r="J8" s="423" t="n"/>
      <c r="K8" s="424">
        <f>IFERROR((D8*H8)/1000,"")</f>
        <v/>
      </c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n"/>
      <c r="U8" s="429" t="n"/>
      <c r="V8" s="429" t="n"/>
      <c r="W8" s="429" t="n"/>
      <c r="X8" s="429" t="n"/>
      <c r="Y8" s="429" t="n"/>
      <c r="Z8" s="430" t="n"/>
      <c r="AA8" s="148" t="n"/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/>
      <c r="D9" s="421" t="n"/>
      <c r="E9" s="422" t="n"/>
      <c r="F9" s="422" t="n"/>
      <c r="G9" s="423" t="n"/>
      <c r="H9" s="421" t="n"/>
      <c r="I9" s="422" t="n"/>
      <c r="J9" s="423" t="n"/>
      <c r="K9" s="424">
        <f>IFERROR((D9*H9)/1000,"")</f>
        <v/>
      </c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/>
      <c r="D10" s="421" t="n"/>
      <c r="E10" s="422" t="n"/>
      <c r="F10" s="422" t="n"/>
      <c r="G10" s="423" t="n"/>
      <c r="H10" s="421" t="n"/>
      <c r="I10" s="422" t="n"/>
      <c r="J10" s="423" t="n"/>
      <c r="K10" s="424">
        <f>IFERROR((D10*H10)/1000,"")</f>
        <v/>
      </c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/>
      <c r="D11" s="421" t="n"/>
      <c r="E11" s="422" t="n"/>
      <c r="F11" s="422" t="n"/>
      <c r="G11" s="423" t="n"/>
      <c r="H11" s="421" t="n"/>
      <c r="I11" s="422" t="n"/>
      <c r="J11" s="423" t="n"/>
      <c r="K11" s="424">
        <f>IFERROR((D11*H11)/1000,"")</f>
        <v/>
      </c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/>
      <c r="D12" s="421" t="n"/>
      <c r="E12" s="422" t="n"/>
      <c r="F12" s="422" t="n"/>
      <c r="G12" s="423" t="n"/>
      <c r="H12" s="421" t="n"/>
      <c r="I12" s="422" t="n"/>
      <c r="J12" s="423" t="n"/>
      <c r="K12" s="424">
        <f>IFERROR((D12*H12)/1000,"")</f>
        <v/>
      </c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/>
      <c r="D13" s="421" t="n"/>
      <c r="E13" s="422" t="n"/>
      <c r="F13" s="422" t="n"/>
      <c r="G13" s="423" t="n"/>
      <c r="H13" s="421" t="n"/>
      <c r="I13" s="422" t="n"/>
      <c r="J13" s="423" t="n"/>
      <c r="K13" s="424">
        <f>IFERROR((D13*H13)/1000,"")</f>
        <v/>
      </c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/>
      <c r="D14" s="421" t="n"/>
      <c r="E14" s="422" t="n"/>
      <c r="F14" s="422" t="n"/>
      <c r="G14" s="423" t="n"/>
      <c r="H14" s="421" t="n"/>
      <c r="I14" s="422" t="n"/>
      <c r="J14" s="423" t="n"/>
      <c r="K14" s="424">
        <f>IFERROR((D14*H14)/1000,"")</f>
        <v/>
      </c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>
        <v>9</v>
      </c>
      <c r="D15" s="421" t="n"/>
      <c r="E15" s="422" t="n"/>
      <c r="F15" s="422" t="n"/>
      <c r="G15" s="423" t="n"/>
      <c r="H15" s="421" t="n"/>
      <c r="I15" s="422" t="n"/>
      <c r="J15" s="423" t="n"/>
      <c r="K15" s="424">
        <f>IFERROR((D15*H15)/1000,"")</f>
        <v/>
      </c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Q1-2500-E</t>
        </is>
      </c>
      <c r="I22" s="422" t="n"/>
      <c r="J22" s="422" t="n"/>
      <c r="K22" s="423" t="n"/>
      <c r="L22" s="427" t="n">
        <v>2.5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20</v>
      </c>
      <c r="U22" s="422" t="n"/>
      <c r="V22" s="423" t="n"/>
      <c r="W22" s="148" t="inlineStr">
        <is>
          <t>&gt;0.99</t>
        </is>
      </c>
      <c r="X22" s="422" t="n"/>
      <c r="Y22" s="423" t="n"/>
      <c r="Z22" s="148" t="inlineStr">
        <is>
          <t>95.5</t>
        </is>
      </c>
      <c r="AA22" s="422" t="n"/>
      <c r="AB22" s="423" t="n"/>
      <c r="AC22" s="148" t="n"/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n">
        <v>1154690</v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TESTE AUTOMACAO CORRIGIDO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inlineStr">
        <is>
          <t>123.456.789-00</t>
        </is>
      </c>
      <c r="R10" s="463" t="inlineStr">
        <is>
          <t>269.191.501-82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inlineStr">
        <is>
          <t>1234567</t>
        </is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TESTE 123, QD 10, LT 5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62 8471-8268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74000-000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GOIANIA</t>
        </is>
      </c>
      <c r="J15" s="422" t="n"/>
      <c r="K15" s="422" t="n"/>
      <c r="L15" s="423" t="n"/>
      <c r="M15" s="2" t="n"/>
      <c r="N15" s="306" t="inlineStr">
        <is>
          <t>GO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contato@fotonengenharia.com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n">
        <v>11517621</v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inlineStr">
        <is>
          <t>10</t>
        </is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40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AÉREO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FULVIO FERREIRA BORGES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Tecnico em Eletrotecnica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n">
        <v>2012721113</v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/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2025-12-11T12:09:42Z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