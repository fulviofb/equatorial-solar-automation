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008" yWindow="3720" windowWidth="17280" windowHeight="9960" tabRatio="600" firstSheet="2" activeTab="1" autoFilterDateGrouping="1"/>
  </bookViews>
  <sheets>
    <sheet xmlns:r="http://schemas.openxmlformats.org/officeDocument/2006/relationships" name="ROTEIRO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FONTES" sheetId="5" state="visible" r:id="rId5"/>
  </sheets>
  <definedNames>
    <definedName name="_xlnm.Print_Area" localSheetId="0">'ROTEIRO'!$B$2:$L$30</definedName>
    <definedName name="_ftn1" localSheetId="1">'0'!#REF!</definedName>
    <definedName name="_ftn2" localSheetId="1">'0'!#REF!</definedName>
    <definedName name="_ftnref1" localSheetId="1">'0'!#REF!</definedName>
    <definedName name="_ftnref2" localSheetId="1">'0'!#REF!</definedName>
    <definedName name="Check3" localSheetId="1">'0'!#REF!</definedName>
    <definedName name="X" localSheetId="1">'0'!#REF!</definedName>
    <definedName name="_xlnm.Print_Area" localSheetId="1">'0'!$A$1:$AG$99</definedName>
    <definedName name="_ftn1" localSheetId="2">'1'!#REF!</definedName>
    <definedName name="_ftn2" localSheetId="2">'1'!#REF!</definedName>
    <definedName name="_ftnref1" localSheetId="2">'1'!#REF!</definedName>
    <definedName name="_ftnref2" localSheetId="2">'1'!#REF!</definedName>
    <definedName name="Check3" localSheetId="2">'1'!#REF!</definedName>
    <definedName name="X" localSheetId="2">'1'!#REF!</definedName>
    <definedName name="_xlnm.Print_Area" localSheetId="2">'1'!$A$1:$AG$117</definedName>
    <definedName name="_xlnm.Print_Area" localSheetId="3">'2'!$B$2:$M$69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1"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0.00000"/>
    <numFmt numFmtId="171" formatCode="#,##0.00_ ;\-#,##0.00\ "/>
    <numFmt numFmtId="172" formatCode="#,##0_ ;\-#,##0\ "/>
    <numFmt numFmtId="173" formatCode="00&quot;.&quot;000\-000"/>
    <numFmt numFmtId="174" formatCode="0.000000"/>
  </numFmts>
  <fonts count="35">
    <font>
      <name val="Calibri"/>
      <family val="2"/>
      <color theme="1"/>
      <sz val="11"/>
      <scheme val="minor"/>
    </font>
    <font>
      <name val="Frutiger 45 Light"/>
      <family val="3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color indexed="10"/>
      <sz val="11"/>
    </font>
    <font>
      <name val="Arial"/>
      <family val="2"/>
      <b val="1"/>
      <sz val="10"/>
    </font>
    <font>
      <name val="Frutiger 45 Light"/>
      <family val="3"/>
      <color indexed="12"/>
      <sz val="10"/>
      <u val="single"/>
    </font>
    <font>
      <name val="Arial"/>
      <family val="2"/>
      <b val="1"/>
      <sz val="9"/>
    </font>
    <font>
      <name val="Arial Narrow"/>
      <family val="2"/>
      <b val="1"/>
      <i val="1"/>
      <color theme="1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  <font>
      <name val="Arial"/>
      <family val="2"/>
      <color theme="1"/>
      <sz val="9"/>
    </font>
    <font>
      <name val="Arial"/>
      <family val="2"/>
      <b val="1"/>
      <color rgb="FF003366"/>
      <sz val="12"/>
    </font>
    <font>
      <name val="Arial"/>
      <family val="2"/>
      <color rgb="FF003366"/>
      <sz val="9"/>
    </font>
    <font>
      <name val="Times New Roman"/>
      <family val="1"/>
      <i val="1"/>
      <color theme="1"/>
      <sz val="12"/>
      <vertAlign val="superscript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Arial"/>
      <family val="2"/>
      <color indexed="12"/>
      <sz val="10"/>
      <u val="single"/>
    </font>
    <font>
      <name val="Arial"/>
      <family val="2"/>
      <color rgb="FFFF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rgb="FFFF0000"/>
      <sz val="10"/>
    </font>
    <font>
      <name val="Arial"/>
      <family val="2"/>
      <color theme="1"/>
      <sz val="11"/>
    </font>
    <font>
      <name val="Arial"/>
      <family val="2"/>
      <b val="1"/>
      <color indexed="81"/>
      <sz val="8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Arial"/>
      <family val="2"/>
      <sz val="12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0.7999816888943144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8">
    <xf numFmtId="0" fontId="27" fillId="0" borderId="0"/>
    <xf numFmtId="0" fontId="1" fillId="0" borderId="0"/>
    <xf numFmtId="0" fontId="9" fillId="0" borderId="0" applyAlignment="1" applyProtection="1">
      <alignment vertical="top"/>
      <protection locked="0" hidden="0"/>
    </xf>
    <xf numFmtId="0" fontId="1" fillId="0" borderId="0"/>
    <xf numFmtId="0" fontId="21" fillId="0" borderId="0"/>
    <xf numFmtId="0" fontId="27" fillId="0" borderId="0"/>
    <xf numFmtId="43" fontId="27" fillId="0" borderId="0"/>
    <xf numFmtId="9" fontId="27" fillId="0" borderId="0"/>
  </cellStyleXfs>
  <cellXfs count="526">
    <xf numFmtId="0" fontId="0" fillId="0" borderId="0" pivotButton="0" quotePrefix="0" xfId="0"/>
    <xf numFmtId="0" fontId="2" fillId="0" borderId="6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horizontal="center" vertical="center"/>
    </xf>
    <xf numFmtId="49" fontId="5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right" vertical="center"/>
    </xf>
    <xf numFmtId="0" fontId="5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left" vertical="center"/>
    </xf>
    <xf numFmtId="0" fontId="2" fillId="2" borderId="18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10" fillId="0" borderId="0" applyAlignment="1" pivotButton="0" quotePrefix="0" xfId="1">
      <alignment horizontal="left" vertical="center" wrapText="1"/>
    </xf>
    <xf numFmtId="1" fontId="2" fillId="0" borderId="0" applyAlignment="1" pivotButton="0" quotePrefix="0" xfId="1">
      <alignment vertical="center"/>
    </xf>
    <xf numFmtId="0" fontId="2" fillId="0" borderId="20" applyAlignment="1" pivotButton="0" quotePrefix="0" xfId="1">
      <alignment vertical="center"/>
    </xf>
    <xf numFmtId="0" fontId="18" fillId="5" borderId="24" applyAlignment="1" pivotButton="0" quotePrefix="0" xfId="0">
      <alignment horizontal="center" vertical="center" wrapText="1"/>
    </xf>
    <xf numFmtId="0" fontId="18" fillId="6" borderId="24" applyAlignment="1" pivotButton="0" quotePrefix="0" xfId="0">
      <alignment horizontal="center" vertical="center" wrapText="1"/>
    </xf>
    <xf numFmtId="0" fontId="19" fillId="8" borderId="24" applyAlignment="1" pivotButton="0" quotePrefix="0" xfId="0">
      <alignment vertical="center" wrapText="1"/>
    </xf>
    <xf numFmtId="0" fontId="19" fillId="7" borderId="24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/>
    </xf>
    <xf numFmtId="0" fontId="2" fillId="0" borderId="30" applyAlignment="1" pivotButton="0" quotePrefix="0" xfId="1">
      <alignment vertical="center"/>
    </xf>
    <xf numFmtId="0" fontId="2" fillId="0" borderId="20" applyAlignment="1" pivotButton="0" quotePrefix="0" xfId="1">
      <alignment horizontal="center" vertical="center"/>
    </xf>
    <xf numFmtId="0" fontId="2" fillId="3" borderId="0" applyAlignment="1" pivotButton="0" quotePrefix="0" xfId="1">
      <alignment vertical="center"/>
    </xf>
    <xf numFmtId="49" fontId="2" fillId="3" borderId="0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 wrapText="1"/>
    </xf>
    <xf numFmtId="49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vertical="center"/>
    </xf>
    <xf numFmtId="167" fontId="2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14" fillId="4" borderId="0" applyAlignment="1" pivotButton="0" quotePrefix="0" xfId="0">
      <alignment vertic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168" fontId="2" fillId="0" borderId="0" applyAlignment="1" pivotButton="0" quotePrefix="0" xfId="1">
      <alignment vertical="center"/>
    </xf>
    <xf numFmtId="49" fontId="1" fillId="0" borderId="0" applyAlignment="1" pivotButton="0" quotePrefix="0" xfId="2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center" vertical="center"/>
    </xf>
    <xf numFmtId="0" fontId="13" fillId="0" borderId="35" applyAlignment="1" pivotButton="0" quotePrefix="0" xfId="0">
      <alignment vertical="center"/>
    </xf>
    <xf numFmtId="0" fontId="13" fillId="0" borderId="18" applyAlignment="1" pivotButton="0" quotePrefix="0" xfId="0">
      <alignment horizontal="center" vertical="center"/>
    </xf>
    <xf numFmtId="0" fontId="13" fillId="0" borderId="36" applyAlignment="1" pivotButton="0" quotePrefix="0" xfId="0">
      <alignment horizontal="center" vertical="center"/>
    </xf>
    <xf numFmtId="0" fontId="14" fillId="4" borderId="0" applyAlignment="1" applyProtection="1" pivotButton="0" quotePrefix="0" xfId="0">
      <alignment horizontal="center" vertical="center"/>
      <protection locked="0" hidden="0"/>
    </xf>
    <xf numFmtId="0" fontId="15" fillId="4" borderId="0" applyAlignment="1" pivotButton="0" quotePrefix="0" xfId="0">
      <alignment horizontal="left" vertical="center"/>
    </xf>
    <xf numFmtId="0" fontId="2" fillId="0" borderId="15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29" applyAlignment="1" pivotButton="0" quotePrefix="0" xfId="1">
      <alignment vertical="center"/>
    </xf>
    <xf numFmtId="0" fontId="3" fillId="0" borderId="1" applyAlignment="1" pivotButton="0" quotePrefix="0" xfId="1">
      <alignment vertical="center" wrapText="1"/>
    </xf>
    <xf numFmtId="0" fontId="2" fillId="0" borderId="2" applyAlignment="1" pivotButton="0" quotePrefix="0" xfId="1">
      <alignment vertical="center"/>
    </xf>
    <xf numFmtId="0" fontId="2" fillId="0" borderId="19" applyAlignment="1" pivotButton="0" quotePrefix="0" xfId="1">
      <alignment vertical="center"/>
    </xf>
    <xf numFmtId="0" fontId="3" fillId="0" borderId="20" applyAlignment="1" pivotButton="0" quotePrefix="0" xfId="1">
      <alignment vertical="center" wrapText="1"/>
    </xf>
    <xf numFmtId="0" fontId="2" fillId="0" borderId="0" applyAlignment="1" pivotButton="0" quotePrefix="0" xfId="1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9" fontId="2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70" fontId="14" fillId="0" borderId="0" applyAlignment="1" pivotButton="0" quotePrefix="0" xfId="0">
      <alignment horizontal="center" vertical="center"/>
    </xf>
    <xf numFmtId="49" fontId="5" fillId="0" borderId="17" applyAlignment="1" pivotButton="0" quotePrefix="0" xfId="1">
      <alignment horizontal="center" vertical="center"/>
    </xf>
    <xf numFmtId="0" fontId="13" fillId="0" borderId="44" applyAlignment="1" applyProtection="1" pivotButton="0" quotePrefix="0" xfId="0">
      <alignment vertical="center"/>
      <protection locked="0" hidden="0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/>
    </xf>
    <xf numFmtId="0" fontId="30" fillId="0" borderId="0" pivotButton="0" quotePrefix="0" xfId="0"/>
    <xf numFmtId="0" fontId="14" fillId="0" borderId="29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24" fillId="0" borderId="30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24" fillId="0" borderId="6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1"/>
    </xf>
    <xf numFmtId="0" fontId="14" fillId="0" borderId="19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 indent="1"/>
    </xf>
    <xf numFmtId="0" fontId="14" fillId="0" borderId="20" applyAlignment="1" pivotButton="0" quotePrefix="0" xfId="0">
      <alignment vertical="center"/>
    </xf>
    <xf numFmtId="0" fontId="24" fillId="0" borderId="21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3" fillId="2" borderId="18" applyAlignment="1" pivotButton="0" quotePrefix="0" xfId="0">
      <alignment vertical="center"/>
    </xf>
    <xf numFmtId="0" fontId="14" fillId="9" borderId="43" applyAlignment="1" pivotButton="0" quotePrefix="0" xfId="0">
      <alignment vertical="center"/>
    </xf>
    <xf numFmtId="0" fontId="14" fillId="9" borderId="33" applyAlignment="1" pivotButton="0" quotePrefix="0" xfId="0">
      <alignment vertical="center"/>
    </xf>
    <xf numFmtId="0" fontId="14" fillId="9" borderId="34" applyAlignment="1" pivotButton="0" quotePrefix="0" xfId="0">
      <alignment vertical="center"/>
    </xf>
    <xf numFmtId="2" fontId="14" fillId="0" borderId="18" applyAlignment="1" applyProtection="1" pivotButton="0" quotePrefix="0" xfId="0">
      <alignment horizontal="center" vertical="center"/>
      <protection locked="0" hidden="0"/>
    </xf>
    <xf numFmtId="0" fontId="14" fillId="4" borderId="20" applyAlignment="1" pivotButton="0" quotePrefix="0" xfId="0">
      <alignment vertical="center" wrapText="1"/>
    </xf>
    <xf numFmtId="0" fontId="5" fillId="0" borderId="0" applyAlignment="1" pivotButton="0" quotePrefix="0" xfId="1">
      <alignment horizontal="center" vertical="center"/>
    </xf>
    <xf numFmtId="49" fontId="5" fillId="0" borderId="7" applyAlignment="1" pivotButton="0" quotePrefix="0" xfId="1">
      <alignment vertical="center"/>
    </xf>
    <xf numFmtId="0" fontId="5" fillId="0" borderId="18" applyAlignment="1" pivotButton="0" quotePrefix="0" xfId="1">
      <alignment horizontal="center" vertical="center"/>
    </xf>
    <xf numFmtId="164" fontId="5" fillId="0" borderId="0" applyAlignment="1" pivotButton="0" quotePrefix="0" xfId="1">
      <alignment horizontal="left" vertical="center"/>
    </xf>
    <xf numFmtId="1" fontId="8" fillId="3" borderId="0" applyAlignment="1" applyProtection="1" pivotButton="0" quotePrefix="0" xfId="1">
      <alignment vertical="center"/>
      <protection locked="0" hidden="0"/>
    </xf>
    <xf numFmtId="0" fontId="14" fillId="4" borderId="6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0" fontId="2" fillId="0" borderId="8" applyAlignment="1" pivotButton="0" quotePrefix="0" xfId="1">
      <alignment vertical="center"/>
    </xf>
    <xf numFmtId="0" fontId="12" fillId="0" borderId="4" applyAlignment="1" applyProtection="1" pivotButton="0" quotePrefix="0" xfId="0">
      <alignment horizontal="center" vertical="center"/>
      <protection locked="0" hidden="0"/>
    </xf>
    <xf numFmtId="171" fontId="5" fillId="0" borderId="8" applyAlignment="1" applyProtection="1" pivotButton="0" quotePrefix="0" xfId="6">
      <alignment vertical="center"/>
      <protection locked="0" hidden="1"/>
    </xf>
    <xf numFmtId="14" fontId="13" fillId="0" borderId="44" applyAlignment="1" applyProtection="1" pivotButton="0" quotePrefix="0" xfId="0">
      <alignment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14" fillId="2" borderId="22" applyAlignment="1" pivotButton="0" quotePrefix="0" xfId="0">
      <alignment horizontal="center" vertical="center"/>
    </xf>
    <xf numFmtId="0" fontId="14" fillId="4" borderId="18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0" fontId="5" fillId="0" borderId="17" applyAlignment="1" pivotButton="0" quotePrefix="0" xfId="1">
      <alignment horizontal="center" vertical="center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14" fillId="4" borderId="20" applyAlignment="1" pivotButton="0" quotePrefix="0" xfId="0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4" fillId="11" borderId="18" applyAlignment="1" applyProtection="1" pivotButton="0" quotePrefix="0" xfId="0">
      <alignment horizontal="center" vertical="center"/>
      <protection locked="0" hidden="0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24" fillId="0" borderId="1" applyAlignment="1" pivotButton="0" quotePrefix="0" xfId="0">
      <alignment horizontal="left" vertical="center" wrapText="1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14" fillId="4" borderId="15" applyAlignment="1" pivotButton="0" quotePrefix="0" xfId="0">
      <alignment horizontal="left" vertical="center"/>
    </xf>
    <xf numFmtId="0" fontId="14" fillId="4" borderId="16" applyAlignment="1" pivotButton="0" quotePrefix="0" xfId="0">
      <alignment horizontal="left" vertical="center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14" fillId="4" borderId="18" applyAlignment="1" pivotButton="0" quotePrefix="0" xfId="0">
      <alignment horizontal="center" vertical="center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0" fontId="14" fillId="0" borderId="16" applyAlignment="1" applyProtection="1" pivotButton="0" quotePrefix="0" xfId="0">
      <alignment horizontal="center" vertical="center"/>
      <protection locked="0" hidden="0"/>
    </xf>
    <xf numFmtId="0" fontId="14" fillId="0" borderId="17" applyAlignment="1" applyProtection="1" pivotButton="0" quotePrefix="0" xfId="0">
      <alignment horizontal="center" vertical="center"/>
      <protection locked="0" hidden="0"/>
    </xf>
    <xf numFmtId="0" fontId="14" fillId="0" borderId="18" applyAlignment="1" applyProtection="1" pivotButton="0" quotePrefix="0" xfId="0">
      <alignment horizontal="left" vertical="center"/>
      <protection locked="0" hidden="0"/>
    </xf>
    <xf numFmtId="0" fontId="14" fillId="4" borderId="18" applyAlignment="1" pivotButton="0" quotePrefix="0" xfId="0">
      <alignment horizontal="left" vertical="center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14" fillId="0" borderId="15" applyAlignment="1" pivotButton="0" quotePrefix="0" xfId="0">
      <alignment horizontal="left" vertical="center"/>
    </xf>
    <xf numFmtId="0" fontId="14" fillId="0" borderId="1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13" fillId="2" borderId="15" applyAlignment="1" pivotButton="0" quotePrefix="0" xfId="0">
      <alignment horizontal="left" vertical="center"/>
    </xf>
    <xf numFmtId="0" fontId="13" fillId="2" borderId="16" applyAlignment="1" pivotButton="0" quotePrefix="0" xfId="0">
      <alignment horizontal="left" vertical="center"/>
    </xf>
    <xf numFmtId="49" fontId="8" fillId="2" borderId="18" applyAlignment="1" pivotButton="0" quotePrefix="0" xfId="1">
      <alignment horizontal="center" vertical="center"/>
    </xf>
    <xf numFmtId="49" fontId="8" fillId="2" borderId="15" applyAlignment="1" pivotButton="0" quotePrefix="0" xfId="1">
      <alignment horizontal="center" vertical="center"/>
    </xf>
    <xf numFmtId="49" fontId="8" fillId="2" borderId="16" applyAlignment="1" pivotButton="0" quotePrefix="0" xfId="1">
      <alignment horizontal="center" vertical="center"/>
    </xf>
    <xf numFmtId="49" fontId="8" fillId="2" borderId="17" applyAlignment="1" pivotButton="0" quotePrefix="0" xfId="1">
      <alignment horizontal="center" vertical="center"/>
    </xf>
    <xf numFmtId="0" fontId="14" fillId="9" borderId="15" applyAlignment="1" applyProtection="1" pivotButton="0" quotePrefix="0" xfId="0">
      <alignment horizontal="center" vertical="center"/>
      <protection locked="1" hidden="1"/>
    </xf>
    <xf numFmtId="0" fontId="14" fillId="9" borderId="16" applyAlignment="1" applyProtection="1" pivotButton="0" quotePrefix="0" xfId="0">
      <alignment horizontal="center" vertical="center"/>
      <protection locked="1" hidden="1"/>
    </xf>
    <xf numFmtId="0" fontId="14" fillId="9" borderId="17" applyAlignment="1" applyProtection="1" pivotButton="0" quotePrefix="0" xfId="0">
      <alignment horizontal="center" vertical="center"/>
      <protection locked="1" hidden="1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0" fontId="14" fillId="9" borderId="18" applyAlignment="1" applyProtection="1" pivotButton="0" quotePrefix="0" xfId="0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172" fontId="22" fillId="4" borderId="16" applyAlignment="1" applyProtection="1" pivotButton="0" quotePrefix="0" xfId="6">
      <alignment horizontal="center" vertical="center"/>
      <protection locked="1" hidden="1"/>
    </xf>
    <xf numFmtId="172" fontId="14" fillId="11" borderId="18" applyAlignment="1" applyProtection="1" pivotButton="0" quotePrefix="0" xfId="6">
      <alignment horizontal="center" vertical="center"/>
      <protection locked="0" hidden="0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2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0" fontId="14" fillId="2" borderId="3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 wrapText="1"/>
    </xf>
    <xf numFmtId="49" fontId="14" fillId="2" borderId="18" applyAlignment="1" pivotButton="0" quotePrefix="0" xfId="1">
      <alignment horizontal="center" vertical="center" wrapText="1"/>
    </xf>
    <xf numFmtId="49" fontId="14" fillId="2" borderId="3" applyAlignment="1" pivotButton="0" quotePrefix="0" xfId="1">
      <alignment horizontal="center" vertical="center" wrapText="1"/>
    </xf>
    <xf numFmtId="49" fontId="14" fillId="2" borderId="4" applyAlignment="1" pivotButton="0" quotePrefix="0" xfId="1">
      <alignment horizontal="center" vertical="center" wrapText="1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14" fillId="11" borderId="17" applyAlignment="1" applyProtection="1" pivotButton="0" quotePrefix="0" xfId="6">
      <alignment horizontal="center" vertical="center"/>
      <protection locked="0" hidden="0"/>
    </xf>
    <xf numFmtId="0" fontId="0" fillId="11" borderId="18" applyAlignment="1" applyProtection="1" pivotButton="0" quotePrefix="0" xfId="0">
      <alignment horizontal="center" vertical="center"/>
      <protection locked="0" hidden="0"/>
    </xf>
    <xf numFmtId="49" fontId="14" fillId="2" borderId="5" applyAlignment="1" pivotButton="0" quotePrefix="0" xfId="1">
      <alignment horizontal="center" vertical="center" wrapText="1"/>
    </xf>
    <xf numFmtId="171" fontId="22" fillId="4" borderId="15" applyAlignment="1" applyProtection="1" pivotButton="0" quotePrefix="0" xfId="6">
      <alignment horizontal="center" vertical="center"/>
      <protection locked="1" hidden="1"/>
    </xf>
    <xf numFmtId="171" fontId="22" fillId="4" borderId="16" applyAlignment="1" applyProtection="1" pivotButton="0" quotePrefix="0" xfId="6">
      <alignment horizontal="center" vertical="center"/>
      <protection locked="1" hidden="1"/>
    </xf>
    <xf numFmtId="171" fontId="22" fillId="4" borderId="17" applyAlignment="1" applyProtection="1" pivotButton="0" quotePrefix="0" xfId="6">
      <alignment horizontal="center" vertical="center"/>
      <protection locked="1" hidden="1"/>
    </xf>
    <xf numFmtId="172" fontId="22" fillId="4" borderId="17" applyAlignment="1" applyProtection="1" pivotButton="0" quotePrefix="0" xfId="6">
      <alignment horizontal="center" vertical="center"/>
      <protection locked="1" hidden="1"/>
    </xf>
    <xf numFmtId="0" fontId="0" fillId="9" borderId="15" applyAlignment="1" applyProtection="1" pivotButton="0" quotePrefix="0" xfId="0">
      <alignment horizontal="center" vertical="center"/>
      <protection locked="1" hidden="1"/>
    </xf>
    <xf numFmtId="0" fontId="0" fillId="9" borderId="16" applyAlignment="1" applyProtection="1" pivotButton="0" quotePrefix="0" xfId="0">
      <alignment horizontal="center" vertical="center"/>
      <protection locked="1" hidden="1"/>
    </xf>
    <xf numFmtId="0" fontId="0" fillId="9" borderId="17" applyAlignment="1" applyProtection="1" pivotButton="0" quotePrefix="0" xfId="0">
      <alignment horizontal="center" vertical="center"/>
      <protection locked="1" hidden="1"/>
    </xf>
    <xf numFmtId="0" fontId="22" fillId="10" borderId="15" applyAlignment="1" applyProtection="1" pivotButton="0" quotePrefix="0" xfId="0">
      <alignment horizontal="center" vertical="center"/>
      <protection locked="1" hidden="1"/>
    </xf>
    <xf numFmtId="0" fontId="22" fillId="10" borderId="16" applyAlignment="1" applyProtection="1" pivotButton="0" quotePrefix="0" xfId="0">
      <alignment horizontal="center" vertical="center"/>
      <protection locked="1" hidden="1"/>
    </xf>
    <xf numFmtId="0" fontId="22" fillId="10" borderId="17" applyAlignment="1" applyProtection="1" pivotButton="0" quotePrefix="0" xfId="0">
      <alignment horizontal="center" vertical="center"/>
      <protection locked="1" hidden="1"/>
    </xf>
    <xf numFmtId="0" fontId="20" fillId="0" borderId="4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14" fillId="2" borderId="22" applyAlignment="1" pivotButton="0" quotePrefix="0" xfId="0">
      <alignment horizontal="center" vertical="center"/>
    </xf>
    <xf numFmtId="0" fontId="14" fillId="2" borderId="23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49" fontId="2" fillId="2" borderId="18" applyAlignment="1" pivotButton="0" quotePrefix="0" xfId="1">
      <alignment horizontal="center" vertical="center" wrapText="1"/>
    </xf>
    <xf numFmtId="49" fontId="2" fillId="2" borderId="3" applyAlignment="1" pivotButton="0" quotePrefix="0" xfId="1">
      <alignment horizontal="center" vertical="center" wrapText="1"/>
    </xf>
    <xf numFmtId="49" fontId="2" fillId="2" borderId="5" applyAlignment="1" pivotButton="0" quotePrefix="0" xfId="1">
      <alignment horizontal="center" vertical="center" wrapText="1"/>
    </xf>
    <xf numFmtId="49" fontId="2" fillId="2" borderId="9" applyAlignment="1" pivotButton="0" quotePrefix="0" xfId="1">
      <alignment horizontal="center" vertical="center" wrapText="1"/>
    </xf>
    <xf numFmtId="49" fontId="2" fillId="2" borderId="11" applyAlignment="1" pivotButton="0" quotePrefix="0" xfId="1">
      <alignment horizontal="center" vertical="center" wrapText="1"/>
    </xf>
    <xf numFmtId="49" fontId="2" fillId="2" borderId="15" applyAlignment="1" pivotButton="0" quotePrefix="0" xfId="1">
      <alignment horizontal="center" vertical="center" wrapText="1"/>
    </xf>
    <xf numFmtId="49" fontId="2" fillId="2" borderId="16" applyAlignment="1" pivotButton="0" quotePrefix="0" xfId="1">
      <alignment horizontal="center" vertical="center" wrapText="1"/>
    </xf>
    <xf numFmtId="49" fontId="2" fillId="2" borderId="17" applyAlignment="1" pivotButton="0" quotePrefix="0" xfId="1">
      <alignment horizontal="center" vertical="center" wrapText="1"/>
    </xf>
    <xf numFmtId="0" fontId="13" fillId="2" borderId="15" applyAlignment="1" pivotButton="0" quotePrefix="0" xfId="0">
      <alignment horizontal="center" vertical="center"/>
    </xf>
    <xf numFmtId="0" fontId="13" fillId="2" borderId="16" applyAlignment="1" pivotButton="0" quotePrefix="0" xfId="0">
      <alignment horizontal="center" vertical="center"/>
    </xf>
    <xf numFmtId="0" fontId="13" fillId="2" borderId="17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 wrapText="1"/>
    </xf>
    <xf numFmtId="0" fontId="13" fillId="2" borderId="16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9" borderId="15" applyAlignment="1" applyProtection="1" pivotButton="0" quotePrefix="0" xfId="0">
      <alignment horizontal="center" vertical="center"/>
      <protection locked="1" hidden="1"/>
    </xf>
    <xf numFmtId="0" fontId="13" fillId="9" borderId="16" applyAlignment="1" applyProtection="1" pivotButton="0" quotePrefix="0" xfId="0">
      <alignment horizontal="center" vertical="center"/>
      <protection locked="1" hidden="1"/>
    </xf>
    <xf numFmtId="0" fontId="14" fillId="4" borderId="15" applyAlignment="1" applyProtection="1" pivotButton="0" quotePrefix="0" xfId="0">
      <alignment horizontal="center" vertical="center"/>
      <protection locked="1" hidden="1"/>
    </xf>
    <xf numFmtId="0" fontId="14" fillId="4" borderId="16" applyAlignment="1" applyProtection="1" pivotButton="0" quotePrefix="0" xfId="0">
      <alignment horizontal="center" vertical="center"/>
      <protection locked="1" hidden="1"/>
    </xf>
    <xf numFmtId="0" fontId="14" fillId="4" borderId="17" applyAlignment="1" applyProtection="1" pivotButton="0" quotePrefix="0" xfId="0">
      <alignment horizontal="center" vertical="center"/>
      <protection locked="1" hidden="1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5" fillId="0" borderId="12" applyAlignment="1" pivotButton="0" quotePrefix="0" xfId="1">
      <alignment horizontal="left" vertical="center"/>
    </xf>
    <xf numFmtId="0" fontId="5" fillId="0" borderId="13" applyAlignment="1" pivotButton="0" quotePrefix="0" xfId="1">
      <alignment horizontal="left" vertical="center"/>
    </xf>
    <xf numFmtId="0" fontId="5" fillId="0" borderId="14" applyAlignment="1" pivotButton="0" quotePrefix="0" xfId="1">
      <alignment horizontal="left" vertical="center"/>
    </xf>
    <xf numFmtId="0" fontId="13" fillId="2" borderId="18" applyAlignment="1" pivotButton="0" quotePrefix="0" xfId="0">
      <alignment horizontal="center" vertical="center" wrapText="1"/>
    </xf>
    <xf numFmtId="0" fontId="2" fillId="2" borderId="15" applyAlignment="1" pivotButton="0" quotePrefix="0" xfId="1">
      <alignment horizontal="left" vertical="center"/>
    </xf>
    <xf numFmtId="0" fontId="2" fillId="2" borderId="16" applyAlignment="1" pivotButton="0" quotePrefix="0" xfId="1">
      <alignment horizontal="left" vertical="center"/>
    </xf>
    <xf numFmtId="0" fontId="2" fillId="2" borderId="17" applyAlignment="1" pivotButton="0" quotePrefix="0" xfId="1">
      <alignment horizontal="left" vertical="center"/>
    </xf>
    <xf numFmtId="49" fontId="2" fillId="0" borderId="15" applyAlignment="1" applyProtection="1" pivotButton="0" quotePrefix="0" xfId="1">
      <alignment horizontal="center" vertical="center"/>
      <protection locked="0" hidden="0"/>
    </xf>
    <xf numFmtId="49" fontId="2" fillId="0" borderId="16" applyAlignment="1" applyProtection="1" pivotButton="0" quotePrefix="0" xfId="1">
      <alignment horizontal="center" vertical="center"/>
      <protection locked="0" hidden="0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0" fontId="2" fillId="0" borderId="15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7" applyAlignment="1" applyProtection="1" pivotButton="0" quotePrefix="0" xfId="1">
      <alignment horizontal="center" vertical="center"/>
      <protection locked="0" hidden="0"/>
    </xf>
    <xf numFmtId="167" fontId="2" fillId="0" borderId="15" applyAlignment="1" pivotButton="0" quotePrefix="0" xfId="1">
      <alignment horizontal="left" vertical="center" wrapText="1"/>
    </xf>
    <xf numFmtId="167" fontId="2" fillId="0" borderId="16" applyAlignment="1" pivotButton="0" quotePrefix="0" xfId="1">
      <alignment horizontal="left" vertical="center" wrapText="1"/>
    </xf>
    <xf numFmtId="167" fontId="2" fillId="0" borderId="17" applyAlignment="1" pivotButton="0" quotePrefix="0" xfId="1">
      <alignment horizontal="left" vertical="center" wrapText="1"/>
    </xf>
    <xf numFmtId="0" fontId="2" fillId="0" borderId="15" applyAlignment="1" pivotButton="0" quotePrefix="0" xfId="1">
      <alignment horizontal="left" vertical="center" wrapText="1"/>
    </xf>
    <xf numFmtId="0" fontId="2" fillId="0" borderId="16" applyAlignment="1" pivotButton="0" quotePrefix="0" xfId="1">
      <alignment horizontal="left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0" borderId="18" applyAlignment="1" pivotButton="0" quotePrefix="0" xfId="1">
      <alignment horizontal="left" vertical="center" wrapText="1"/>
    </xf>
    <xf numFmtId="0" fontId="6" fillId="0" borderId="12" applyAlignment="1" pivotButton="0" quotePrefix="0" xfId="1">
      <alignment horizontal="left" vertical="center"/>
    </xf>
    <xf numFmtId="0" fontId="6" fillId="0" borderId="13" applyAlignment="1" pivotButton="0" quotePrefix="0" xfId="1">
      <alignment horizontal="left" vertical="center"/>
    </xf>
    <xf numFmtId="0" fontId="6" fillId="0" borderId="14" applyAlignment="1" pivotButton="0" quotePrefix="0" xfId="1">
      <alignment horizontal="left" vertical="center"/>
    </xf>
    <xf numFmtId="0" fontId="2" fillId="0" borderId="29" applyAlignment="1" pivotButton="0" quotePrefix="0" xfId="3">
      <alignment horizontal="left" vertical="center"/>
    </xf>
    <xf numFmtId="0" fontId="2" fillId="0" borderId="1" applyAlignment="1" pivotButton="0" quotePrefix="0" xfId="3">
      <alignment horizontal="left" vertical="center"/>
    </xf>
    <xf numFmtId="0" fontId="2" fillId="0" borderId="40" applyAlignment="1" pivotButton="0" quotePrefix="0" xfId="3">
      <alignment horizontal="left" vertical="center"/>
    </xf>
    <xf numFmtId="0" fontId="2" fillId="0" borderId="41" applyAlignment="1" pivotButton="0" quotePrefix="0" xfId="1">
      <alignment horizontal="left" vertical="center" wrapText="1"/>
    </xf>
    <xf numFmtId="0" fontId="2" fillId="0" borderId="1" applyAlignment="1" pivotButton="0" quotePrefix="0" xfId="1">
      <alignment horizontal="left" vertical="center" wrapText="1"/>
    </xf>
    <xf numFmtId="0" fontId="2" fillId="0" borderId="30" applyAlignment="1" pivotButton="0" quotePrefix="0" xfId="1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2" fillId="2" borderId="15" applyAlignment="1" pivotButton="0" quotePrefix="0" xfId="1">
      <alignment horizontal="left" vertical="center" wrapText="1"/>
    </xf>
    <xf numFmtId="0" fontId="14" fillId="4" borderId="29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4" borderId="3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4" fillId="4" borderId="19" applyAlignment="1" pivotButton="0" quotePrefix="0" xfId="0">
      <alignment horizontal="left" vertical="center" wrapText="1"/>
    </xf>
    <xf numFmtId="0" fontId="14" fillId="4" borderId="20" applyAlignment="1" pivotButton="0" quotePrefix="0" xfId="0">
      <alignment horizontal="left" vertical="center" wrapText="1"/>
    </xf>
    <xf numFmtId="0" fontId="14" fillId="4" borderId="0" applyAlignment="1" applyProtection="1" pivotButton="0" quotePrefix="0" xfId="0">
      <alignment horizontal="left" vertical="center" wrapText="1"/>
      <protection locked="0" hidden="0"/>
    </xf>
    <xf numFmtId="0" fontId="14" fillId="4" borderId="20" applyAlignment="1" applyProtection="1" pivotButton="0" quotePrefix="0" xfId="0">
      <alignment horizontal="left" vertical="center" wrapText="1"/>
      <protection locked="0" hidden="0"/>
    </xf>
    <xf numFmtId="0" fontId="2" fillId="2" borderId="16" applyAlignment="1" pivotButton="0" quotePrefix="0" xfId="1">
      <alignment horizontal="left" vertical="center" wrapText="1"/>
    </xf>
    <xf numFmtId="0" fontId="2" fillId="2" borderId="17" applyAlignment="1" pivotButton="0" quotePrefix="0" xfId="1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14" fillId="4" borderId="42" applyAlignment="1" pivotButton="0" quotePrefix="0" xfId="0">
      <alignment horizontal="left" vertical="center" wrapText="1"/>
    </xf>
    <xf numFmtId="0" fontId="14" fillId="4" borderId="16" applyAlignment="1" pivotButton="0" quotePrefix="0" xfId="0">
      <alignment horizontal="left" vertical="center" wrapText="1"/>
    </xf>
    <xf numFmtId="0" fontId="14" fillId="4" borderId="44" applyAlignment="1" pivotButton="0" quotePrefix="0" xfId="0">
      <alignment horizontal="left" vertical="center" wrapText="1"/>
    </xf>
    <xf numFmtId="0" fontId="2" fillId="0" borderId="7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9" applyAlignment="1" applyProtection="1" pivotButton="0" quotePrefix="0" xfId="1">
      <alignment horizontal="center" vertical="center" wrapText="1"/>
      <protection locked="0" hidden="0"/>
    </xf>
    <xf numFmtId="0" fontId="2" fillId="0" borderId="10" applyAlignment="1" applyProtection="1" pivotButton="0" quotePrefix="0" xfId="1">
      <alignment horizontal="center" vertical="center" wrapText="1"/>
      <protection locked="0" hidden="0"/>
    </xf>
    <xf numFmtId="14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6" applyAlignment="1" applyProtection="1" pivotButton="0" quotePrefix="0" xfId="1">
      <alignment horizontal="center" vertical="center" wrapText="1"/>
      <protection locked="0" hidden="0"/>
    </xf>
    <xf numFmtId="0" fontId="2" fillId="0" borderId="31" applyAlignment="1" applyProtection="1" pivotButton="0" quotePrefix="0" xfId="1">
      <alignment horizontal="center" vertical="center" wrapText="1"/>
      <protection locked="0" hidden="0"/>
    </xf>
    <xf numFmtId="0" fontId="2" fillId="0" borderId="2" applyAlignment="1" pivotButton="0" quotePrefix="0" xfId="3">
      <alignment horizontal="left" vertical="center" wrapText="1"/>
    </xf>
    <xf numFmtId="0" fontId="2" fillId="0" borderId="0" applyAlignment="1" pivotButton="0" quotePrefix="0" xfId="3">
      <alignment horizontal="left" vertical="center" wrapText="1"/>
    </xf>
    <xf numFmtId="0" fontId="2" fillId="0" borderId="8" applyAlignment="1" pivotButton="0" quotePrefix="0" xfId="3">
      <alignment horizontal="left" vertical="center" wrapText="1"/>
    </xf>
    <xf numFmtId="0" fontId="2" fillId="0" borderId="19" applyAlignment="1" pivotButton="0" quotePrefix="0" xfId="3">
      <alignment horizontal="left" vertical="center" wrapText="1"/>
    </xf>
    <xf numFmtId="0" fontId="2" fillId="0" borderId="20" applyAlignment="1" pivotButton="0" quotePrefix="0" xfId="3">
      <alignment horizontal="left" vertical="center" wrapText="1"/>
    </xf>
    <xf numFmtId="0" fontId="2" fillId="0" borderId="32" applyAlignment="1" pivotButton="0" quotePrefix="0" xfId="3">
      <alignment horizontal="left" vertical="center" wrapText="1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8" fillId="2" borderId="18" applyAlignment="1" pivotButton="0" quotePrefix="0" xfId="1">
      <alignment horizontal="center" vertical="center"/>
    </xf>
    <xf numFmtId="0" fontId="12" fillId="0" borderId="15" applyAlignment="1" applyProtection="1" pivotButton="0" quotePrefix="0" xfId="0">
      <alignment horizontal="center" vertical="center"/>
      <protection locked="0" hidden="0"/>
    </xf>
    <xf numFmtId="0" fontId="12" fillId="0" borderId="16" applyAlignment="1" applyProtection="1" pivotButton="0" quotePrefix="0" xfId="0">
      <alignment horizontal="center" vertical="center"/>
      <protection locked="0" hidden="0"/>
    </xf>
    <xf numFmtId="0" fontId="12" fillId="0" borderId="17" applyAlignment="1" applyProtection="1" pivotButton="0" quotePrefix="0" xfId="0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/>
    </xf>
    <xf numFmtId="2" fontId="12" fillId="0" borderId="16" applyAlignment="1" pivotButton="0" quotePrefix="0" xfId="0">
      <alignment horizontal="center" vertical="center"/>
    </xf>
    <xf numFmtId="2" fontId="12" fillId="0" borderId="17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2" fillId="2" borderId="15" applyAlignment="1" pivotButton="0" quotePrefix="0" xfId="1">
      <alignment horizontal="center" vertical="center"/>
    </xf>
    <xf numFmtId="0" fontId="2" fillId="2" borderId="16" applyAlignment="1" pivotButton="0" quotePrefix="0" xfId="1">
      <alignment horizontal="center" vertical="center"/>
    </xf>
    <xf numFmtId="0" fontId="2" fillId="2" borderId="17" applyAlignment="1" pivotButton="0" quotePrefix="0" xfId="1">
      <alignment horizontal="center" vertical="center"/>
    </xf>
    <xf numFmtId="14" fontId="5" fillId="0" borderId="18" applyAlignment="1" applyProtection="1" pivotButton="0" quotePrefix="0" xfId="6">
      <alignment horizontal="center" vertical="center"/>
      <protection locked="0" hidden="1"/>
    </xf>
    <xf numFmtId="0" fontId="5" fillId="0" borderId="18" applyAlignment="1" applyProtection="1" pivotButton="0" quotePrefix="0" xfId="1">
      <alignment horizontal="center" vertical="center"/>
      <protection locked="1" hidden="1"/>
    </xf>
    <xf numFmtId="2" fontId="12" fillId="0" borderId="16" applyAlignment="1" applyProtection="1" pivotButton="0" quotePrefix="0" xfId="0">
      <alignment horizontal="center" vertical="center"/>
      <protection locked="0" hidden="0"/>
    </xf>
    <xf numFmtId="2" fontId="12" fillId="0" borderId="17" applyAlignment="1" applyProtection="1" pivotButton="0" quotePrefix="0" xfId="0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49" fontId="2" fillId="3" borderId="18" applyAlignment="1" applyProtection="1" pivotButton="0" quotePrefix="0" xfId="1">
      <alignment horizontal="left" vertical="center"/>
      <protection locked="0" hidden="0"/>
    </xf>
    <xf numFmtId="49" fontId="2" fillId="2" borderId="15" applyAlignment="1" pivotButton="0" quotePrefix="0" xfId="1">
      <alignment horizontal="left" vertical="center"/>
    </xf>
    <xf numFmtId="49" fontId="2" fillId="2" borderId="17" applyAlignment="1" pivotButton="0" quotePrefix="0" xfId="1">
      <alignment horizontal="left" vertical="center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49" fontId="2" fillId="0" borderId="15" applyAlignment="1" applyProtection="1" pivotButton="0" quotePrefix="0" xfId="1">
      <alignment horizontal="left" vertical="center"/>
      <protection locked="0" hidden="0"/>
    </xf>
    <xf numFmtId="49" fontId="2" fillId="0" borderId="16" applyAlignment="1" applyProtection="1" pivotButton="0" quotePrefix="0" xfId="1">
      <alignment horizontal="left" vertical="center"/>
      <protection locked="0" hidden="0"/>
    </xf>
    <xf numFmtId="49" fontId="2" fillId="0" borderId="17" applyAlignment="1" applyProtection="1" pivotButton="0" quotePrefix="0" xfId="1">
      <alignment horizontal="left" vertical="center"/>
      <protection locked="0" hidden="0"/>
    </xf>
    <xf numFmtId="49" fontId="2" fillId="2" borderId="18" applyAlignment="1" pivotButton="0" quotePrefix="0" xfId="1">
      <alignment horizontal="left" vertical="center"/>
    </xf>
    <xf numFmtId="173" fontId="2" fillId="0" borderId="15" applyAlignment="1" applyProtection="1" pivotButton="0" quotePrefix="0" xfId="1">
      <alignment horizontal="center" vertical="center"/>
      <protection locked="0" hidden="0"/>
    </xf>
    <xf numFmtId="173" fontId="2" fillId="0" borderId="16" applyAlignment="1" applyProtection="1" pivotButton="0" quotePrefix="0" xfId="1">
      <alignment horizontal="center" vertical="center"/>
      <protection locked="0" hidden="0"/>
    </xf>
    <xf numFmtId="173" fontId="2" fillId="0" borderId="17" applyAlignment="1" applyProtection="1" pivotButton="0" quotePrefix="0" xfId="1">
      <alignment horizontal="center" vertical="center"/>
      <protection locked="0" hidden="0"/>
    </xf>
    <xf numFmtId="0" fontId="12" fillId="0" borderId="1" applyAlignment="1" pivotButton="0" quotePrefix="0" xfId="0">
      <alignment horizontal="left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4" fillId="0" borderId="21" applyAlignment="1" pivotButton="0" quotePrefix="0" xfId="1">
      <alignment horizontal="center" vertical="center" wrapText="1"/>
    </xf>
    <xf numFmtId="49" fontId="25" fillId="3" borderId="15" applyAlignment="1" applyProtection="1" pivotButton="0" quotePrefix="0" xfId="2">
      <alignment horizontal="left" vertical="center"/>
      <protection locked="0" hidden="0"/>
    </xf>
    <xf numFmtId="49" fontId="2" fillId="3" borderId="16" applyAlignment="1" applyProtection="1" pivotButton="0" quotePrefix="0" xfId="1">
      <alignment horizontal="left" vertical="center"/>
      <protection locked="0" hidden="0"/>
    </xf>
    <xf numFmtId="49" fontId="2" fillId="3" borderId="17" applyAlignment="1" applyProtection="1" pivotButton="0" quotePrefix="0" xfId="1">
      <alignment horizontal="left" vertical="center"/>
      <protection locked="0" hidden="0"/>
    </xf>
    <xf numFmtId="49" fontId="5" fillId="0" borderId="15" applyAlignment="1" applyProtection="1" pivotButton="0" quotePrefix="0" xfId="1">
      <alignment horizontal="center" vertical="center"/>
      <protection locked="0" hidden="0"/>
    </xf>
    <xf numFmtId="49" fontId="5" fillId="0" borderId="16" applyAlignment="1" applyProtection="1" pivotButton="0" quotePrefix="0" xfId="1">
      <alignment horizontal="center" vertical="center"/>
      <protection locked="0" hidden="0"/>
    </xf>
    <xf numFmtId="49" fontId="5" fillId="0" borderId="17" applyAlignment="1" applyProtection="1" pivotButton="0" quotePrefix="0" xfId="1">
      <alignment horizontal="center" vertical="center"/>
      <protection locked="0" hidden="0"/>
    </xf>
    <xf numFmtId="164" fontId="2" fillId="0" borderId="15" applyAlignment="1" pivotButton="0" quotePrefix="0" xfId="1">
      <alignment horizontal="center" vertical="center"/>
    </xf>
    <xf numFmtId="164" fontId="2" fillId="0" borderId="17" applyAlignment="1" pivotButton="0" quotePrefix="0" xfId="1">
      <alignment horizontal="center" vertical="center"/>
    </xf>
    <xf numFmtId="0" fontId="2" fillId="0" borderId="18" applyAlignment="1" applyProtection="1" pivotButton="0" quotePrefix="0" xfId="1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0"/>
    </xf>
    <xf numFmtId="0" fontId="5" fillId="0" borderId="17" applyAlignment="1" applyProtection="1" pivotButton="0" quotePrefix="0" xfId="1">
      <alignment horizontal="center" vertical="center"/>
      <protection locked="0" hidden="0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/>
      <protection locked="0" hidden="0"/>
    </xf>
    <xf numFmtId="1" fontId="2" fillId="0" borderId="15" applyAlignment="1" applyProtection="1" pivotButton="0" quotePrefix="1" xfId="1">
      <alignment horizontal="center" vertical="center"/>
      <protection locked="0" hidden="0"/>
    </xf>
    <xf numFmtId="1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17" applyAlignment="1" applyProtection="1" pivotButton="0" quotePrefix="0" xfId="1">
      <alignment horizontal="center" vertical="center"/>
      <protection locked="0" hidden="0"/>
    </xf>
    <xf numFmtId="49" fontId="2" fillId="2" borderId="15" applyAlignment="1" pivotButton="0" quotePrefix="0" xfId="1">
      <alignment horizontal="center" vertical="center"/>
    </xf>
    <xf numFmtId="49" fontId="2" fillId="2" borderId="16" applyAlignment="1" pivotButton="0" quotePrefix="0" xfId="1">
      <alignment horizontal="center" vertical="center"/>
    </xf>
    <xf numFmtId="49" fontId="2" fillId="2" borderId="17" applyAlignment="1" pivotButton="0" quotePrefix="0" xfId="1">
      <alignment horizontal="center" vertical="center"/>
    </xf>
    <xf numFmtId="14" fontId="2" fillId="0" borderId="15" applyAlignment="1" applyProtection="1" pivotButton="0" quotePrefix="0" xfId="1">
      <alignment horizontal="center" vertical="center"/>
      <protection locked="0" hidden="0"/>
    </xf>
    <xf numFmtId="0" fontId="22" fillId="0" borderId="15" applyAlignment="1" applyProtection="1" pivotButton="0" quotePrefix="0" xfId="0">
      <alignment horizontal="center" vertical="center"/>
      <protection locked="0" hidden="0"/>
    </xf>
    <xf numFmtId="0" fontId="22" fillId="0" borderId="16" applyAlignment="1" applyProtection="1" pivotButton="0" quotePrefix="0" xfId="0">
      <alignment horizontal="center" vertical="center"/>
      <protection locked="0" hidden="0"/>
    </xf>
    <xf numFmtId="0" fontId="22" fillId="0" borderId="17" applyAlignment="1" applyProtection="1" pivotButton="0" quotePrefix="0" xfId="0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1"/>
    </xf>
    <xf numFmtId="0" fontId="5" fillId="0" borderId="16" applyAlignment="1" applyProtection="1" pivotButton="0" quotePrefix="0" xfId="1">
      <alignment horizontal="center" vertical="center"/>
      <protection locked="0" hidden="1"/>
    </xf>
    <xf numFmtId="1" fontId="8" fillId="3" borderId="0" applyAlignment="1" applyProtection="1" pivotButton="0" quotePrefix="0" xfId="1">
      <alignment horizontal="center" vertical="center"/>
      <protection locked="0" hidden="0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2" fontId="5" fillId="0" borderId="15" applyAlignment="1" applyProtection="1" pivotButton="0" quotePrefix="0" xfId="1">
      <alignment horizontal="center" vertical="center"/>
      <protection locked="0" hidden="0"/>
    </xf>
    <xf numFmtId="2" fontId="5" fillId="0" borderId="16" applyAlignment="1" applyProtection="1" pivotButton="0" quotePrefix="0" xfId="1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 wrapText="1"/>
    </xf>
    <xf numFmtId="0" fontId="5" fillId="0" borderId="16" applyAlignment="1" applyProtection="1" pivotButton="0" quotePrefix="0" xfId="1">
      <alignment horizontal="center" vertical="center"/>
      <protection locked="0" hidden="0"/>
    </xf>
    <xf numFmtId="2" fontId="22" fillId="0" borderId="15" applyAlignment="1" applyProtection="1" pivotButton="0" quotePrefix="0" xfId="0">
      <alignment horizontal="center" vertical="center"/>
      <protection locked="1" hidden="1"/>
    </xf>
    <xf numFmtId="2" fontId="22" fillId="0" borderId="16" applyAlignment="1" applyProtection="1" pivotButton="0" quotePrefix="0" xfId="0">
      <alignment horizontal="center" vertical="center"/>
      <protection locked="1" hidden="1"/>
    </xf>
    <xf numFmtId="0" fontId="8" fillId="0" borderId="18" applyAlignment="1" applyProtection="1" pivotButton="0" quotePrefix="0" xfId="1">
      <alignment horizontal="center" vertical="center"/>
      <protection locked="0" hidden="0"/>
    </xf>
    <xf numFmtId="1" fontId="14" fillId="0" borderId="18" applyAlignment="1" applyProtection="1" pivotButton="0" quotePrefix="0" xfId="0">
      <alignment horizontal="center" vertical="center"/>
      <protection locked="0" hidden="0"/>
    </xf>
    <xf numFmtId="0" fontId="2" fillId="2" borderId="15" applyAlignment="1" applyProtection="1" pivotButton="0" quotePrefix="0" xfId="1">
      <alignment horizontal="left" vertical="center" wrapText="1"/>
      <protection locked="1" hidden="1"/>
    </xf>
    <xf numFmtId="0" fontId="2" fillId="2" borderId="16" applyAlignment="1" applyProtection="1" pivotButton="0" quotePrefix="0" xfId="1">
      <alignment horizontal="left" vertical="center" wrapText="1"/>
      <protection locked="1" hidden="1"/>
    </xf>
    <xf numFmtId="0" fontId="2" fillId="2" borderId="17" applyAlignment="1" applyProtection="1" pivotButton="0" quotePrefix="0" xfId="1">
      <alignment horizontal="left" vertical="center" wrapText="1"/>
      <protection locked="1" hidden="1"/>
    </xf>
    <xf numFmtId="174" fontId="6" fillId="0" borderId="15" applyAlignment="1" applyProtection="1" pivotButton="0" quotePrefix="0" xfId="1">
      <alignment horizontal="center" vertical="center"/>
      <protection locked="0" hidden="0"/>
    </xf>
    <xf numFmtId="174" fontId="6" fillId="0" borderId="16" applyAlignment="1" applyProtection="1" pivotButton="0" quotePrefix="0" xfId="1">
      <alignment horizontal="center" vertical="center"/>
      <protection locked="0" hidden="0"/>
    </xf>
    <xf numFmtId="174" fontId="6" fillId="0" borderId="17" applyAlignment="1" applyProtection="1" pivotButton="0" quotePrefix="0" xfId="1">
      <alignment horizontal="center" vertical="center"/>
      <protection locked="0" hidden="0"/>
    </xf>
    <xf numFmtId="174" fontId="12" fillId="0" borderId="16" applyAlignment="1" applyProtection="1" pivotButton="0" quotePrefix="1" xfId="0">
      <alignment horizontal="center" vertical="center"/>
      <protection locked="0" hidden="0"/>
    </xf>
    <xf numFmtId="174" fontId="12" fillId="0" borderId="17" applyAlignment="1" applyProtection="1" pivotButton="0" quotePrefix="1" xfId="0">
      <alignment horizontal="center" vertical="center"/>
      <protection locked="0" hidden="0"/>
    </xf>
    <xf numFmtId="0" fontId="2" fillId="2" borderId="18" applyAlignment="1" pivotButton="0" quotePrefix="0" xfId="1">
      <alignment horizontal="center" vertical="center"/>
    </xf>
    <xf numFmtId="49" fontId="25" fillId="0" borderId="15" applyAlignment="1" applyProtection="1" pivotButton="0" quotePrefix="0" xfId="2">
      <alignment horizontal="left" vertical="center"/>
      <protection locked="0" hidden="0"/>
    </xf>
    <xf numFmtId="49" fontId="14" fillId="0" borderId="15" applyAlignment="1" applyProtection="1" pivotButton="0" quotePrefix="0" xfId="0">
      <alignment horizontal="center" vertical="center"/>
      <protection locked="0" hidden="0"/>
    </xf>
    <xf numFmtId="49" fontId="14" fillId="0" borderId="16" applyAlignment="1" applyProtection="1" pivotButton="0" quotePrefix="0" xfId="0">
      <alignment horizontal="center" vertical="center"/>
      <protection locked="0" hidden="0"/>
    </xf>
    <xf numFmtId="49" fontId="14" fillId="0" borderId="17" applyAlignment="1" applyProtection="1" pivotButton="0" quotePrefix="0" xfId="0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4" applyAlignment="1" applyProtection="1" pivotButton="0" quotePrefix="0" xfId="0">
      <alignment horizontal="center" vertical="center"/>
      <protection locked="0" hidden="0"/>
    </xf>
    <xf numFmtId="0" fontId="13" fillId="2" borderId="42" applyAlignment="1" pivotButton="0" quotePrefix="0" xfId="0">
      <alignment horizontal="left" vertical="center"/>
    </xf>
    <xf numFmtId="0" fontId="13" fillId="2" borderId="17" applyAlignment="1" pivotButton="0" quotePrefix="0" xfId="0">
      <alignment horizontal="left" vertical="center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0" borderId="17" applyAlignment="1" applyProtection="1" pivotButton="0" quotePrefix="0" xfId="0">
      <alignment horizontal="center" vertical="center"/>
      <protection locked="0" hidden="0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9" fontId="13" fillId="0" borderId="43" applyAlignment="1" applyProtection="1" pivotButton="0" quotePrefix="0" xfId="7">
      <alignment horizontal="center" vertical="center"/>
      <protection locked="1" hidden="1"/>
    </xf>
    <xf numFmtId="9" fontId="13" fillId="0" borderId="33" applyAlignment="1" applyProtection="1" pivotButton="0" quotePrefix="0" xfId="7">
      <alignment horizontal="center" vertical="center"/>
      <protection locked="1" hidden="1"/>
    </xf>
    <xf numFmtId="0" fontId="14" fillId="0" borderId="15" applyAlignment="1" applyProtection="1" pivotButton="0" quotePrefix="0" xfId="0">
      <alignment horizontal="center" vertical="center" wrapText="1"/>
      <protection locked="0" hidden="0"/>
    </xf>
    <xf numFmtId="0" fontId="14" fillId="0" borderId="16" applyAlignment="1" applyProtection="1" pivotButton="0" quotePrefix="0" xfId="0">
      <alignment horizontal="center" vertical="center" wrapText="1"/>
      <protection locked="0" hidden="0"/>
    </xf>
    <xf numFmtId="0" fontId="14" fillId="0" borderId="17" applyAlignment="1" applyProtection="1" pivotButton="0" quotePrefix="0" xfId="0">
      <alignment horizontal="center" vertical="center" wrapText="1"/>
      <protection locked="0" hidden="0"/>
    </xf>
    <xf numFmtId="0" fontId="14" fillId="0" borderId="44" applyAlignment="1" applyProtection="1" pivotButton="0" quotePrefix="0" xfId="0">
      <alignment horizontal="center" vertical="center"/>
      <protection locked="0" hidden="0"/>
    </xf>
    <xf numFmtId="0" fontId="13" fillId="0" borderId="17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/>
    </xf>
    <xf numFmtId="0" fontId="19" fillId="7" borderId="25" applyAlignment="1" pivotButton="0" quotePrefix="0" xfId="0">
      <alignment horizontal="center" vertical="center" wrapText="1"/>
    </xf>
    <xf numFmtId="0" fontId="19" fillId="7" borderId="26" applyAlignment="1" pivotButton="0" quotePrefix="0" xfId="0">
      <alignment horizontal="center" vertical="center" wrapText="1"/>
    </xf>
    <xf numFmtId="0" fontId="19" fillId="7" borderId="27" applyAlignment="1" pivotButton="0" quotePrefix="0" xfId="0">
      <alignment horizontal="center" vertical="center" wrapText="1"/>
    </xf>
    <xf numFmtId="0" fontId="0" fillId="7" borderId="28" pivotButton="0" quotePrefix="0" xfId="0"/>
    <xf numFmtId="0" fontId="13" fillId="0" borderId="4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45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16" pivotButton="0" quotePrefix="0" xfId="0"/>
    <xf numFmtId="0" fontId="0" fillId="0" borderId="17" pivotButton="0" quotePrefix="0" xfId="0"/>
    <xf numFmtId="172" fontId="14" fillId="11" borderId="18" applyAlignment="1" applyProtection="1" pivotButton="0" quotePrefix="0" xfId="6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4" fillId="4" borderId="18" applyAlignment="1" applyProtection="1" pivotButton="0" quotePrefix="0" xfId="0">
      <alignment horizontal="center" vertical="center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23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0" fillId="0" borderId="4" pivotButton="0" quotePrefix="0" xfId="0"/>
    <xf numFmtId="0" fontId="22" fillId="10" borderId="18" applyAlignment="1" applyProtection="1" pivotButton="0" quotePrefix="0" xfId="0">
      <alignment horizontal="center" vertical="center"/>
      <protection locked="1" hidden="1"/>
    </xf>
    <xf numFmtId="0" fontId="14" fillId="2" borderId="1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9" borderId="18" applyAlignment="1" applyProtection="1" pivotButton="0" quotePrefix="0" xfId="0">
      <alignment horizontal="center" vertical="center"/>
      <protection locked="1" hidden="1"/>
    </xf>
    <xf numFmtId="0" fontId="14" fillId="2" borderId="22" applyAlignment="1" pivotButton="0" quotePrefix="0" xfId="0">
      <alignment horizontal="center" vertical="center" wrapText="1"/>
    </xf>
    <xf numFmtId="49" fontId="14" fillId="2" borderId="22" applyAlignment="1" pivotButton="0" quotePrefix="0" xfId="1">
      <alignment horizontal="center" vertical="center" wrapText="1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0" fontId="14" fillId="0" borderId="18" applyAlignment="1" applyProtection="1" pivotButton="0" quotePrefix="0" xfId="0">
      <alignment horizontal="center" vertical="center"/>
      <protection locked="0" hidden="0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0" fillId="0" borderId="1" pivotButton="0" quotePrefix="0" xfId="0"/>
    <xf numFmtId="164" fontId="2" fillId="0" borderId="0" applyAlignment="1" pivotButton="0" quotePrefix="0" xfId="1">
      <alignment vertical="center"/>
    </xf>
    <xf numFmtId="168" fontId="2" fillId="0" borderId="0" applyAlignment="1" pivotButton="0" quotePrefix="0" xfId="1">
      <alignment vertical="center"/>
    </xf>
    <xf numFmtId="166" fontId="2" fillId="0" borderId="0" applyAlignment="1" pivotButton="0" quotePrefix="0" xfId="1">
      <alignment vertical="center"/>
    </xf>
    <xf numFmtId="0" fontId="4" fillId="0" borderId="14" applyAlignment="1" pivotButton="0" quotePrefix="0" xfId="1">
      <alignment horizontal="center" vertical="center" wrapText="1"/>
    </xf>
    <xf numFmtId="0" fontId="0" fillId="0" borderId="30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169" fontId="2" fillId="0" borderId="0" applyAlignment="1" pivotButton="0" quotePrefix="0" xfId="1">
      <alignment horizontal="left" vertical="center"/>
    </xf>
    <xf numFmtId="0" fontId="6" fillId="0" borderId="45" applyAlignment="1" pivotButton="0" quotePrefix="0" xfId="1">
      <alignment horizontal="left" vertical="center"/>
    </xf>
    <xf numFmtId="49" fontId="2" fillId="0" borderId="18" applyAlignment="1" applyProtection="1" pivotButton="0" quotePrefix="0" xfId="1">
      <alignment horizontal="left" vertical="center"/>
      <protection locked="0" hidden="0"/>
    </xf>
    <xf numFmtId="1" fontId="2" fillId="0" borderId="18" applyAlignment="1" applyProtection="1" pivotButton="0" quotePrefix="1" xfId="1">
      <alignment horizontal="center" vertical="center"/>
      <protection locked="0" hidden="0"/>
    </xf>
    <xf numFmtId="49" fontId="2" fillId="2" borderId="18" applyAlignment="1" pivotButton="0" quotePrefix="0" xfId="1">
      <alignment horizontal="center" vertical="center"/>
    </xf>
    <xf numFmtId="14" fontId="2" fillId="0" borderId="18" applyAlignment="1" applyProtection="1" pivotButton="0" quotePrefix="0" xfId="1">
      <alignment horizontal="center" vertical="center"/>
      <protection locked="0" hidden="0"/>
    </xf>
    <xf numFmtId="165" fontId="2" fillId="0" borderId="0" applyAlignment="1" pivotButton="0" quotePrefix="0" xfId="1">
      <alignment horizontal="left" vertical="center"/>
    </xf>
    <xf numFmtId="164" fontId="2" fillId="0" borderId="18" applyAlignment="1" pivotButton="0" quotePrefix="0" xfId="1">
      <alignment horizontal="center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173" fontId="2" fillId="0" borderId="18" applyAlignment="1" applyProtection="1" pivotButton="0" quotePrefix="0" xfId="1">
      <alignment horizontal="center" vertical="center"/>
      <protection locked="0" hidden="0"/>
    </xf>
    <xf numFmtId="49" fontId="25" fillId="3" borderId="18" applyAlignment="1" applyProtection="1" pivotButton="0" quotePrefix="0" xfId="2">
      <alignment horizontal="left" vertical="center"/>
      <protection locked="0" hidden="0"/>
    </xf>
    <xf numFmtId="164" fontId="5" fillId="0" borderId="0" applyAlignment="1" pivotButton="0" quotePrefix="0" xfId="1">
      <alignment horizontal="left" vertical="center"/>
    </xf>
    <xf numFmtId="49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18" applyAlignment="1" applyProtection="1" pivotButton="0" quotePrefix="0" xfId="0">
      <alignment horizontal="center" vertical="center"/>
      <protection locked="0" hidden="0"/>
    </xf>
    <xf numFmtId="0" fontId="22" fillId="0" borderId="18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1"/>
    </xf>
    <xf numFmtId="0" fontId="2" fillId="2" borderId="18" applyAlignment="1" applyProtection="1" pivotButton="0" quotePrefix="0" xfId="1">
      <alignment horizontal="left" vertical="center" wrapText="1"/>
      <protection locked="1" hidden="1"/>
    </xf>
    <xf numFmtId="174" fontId="6" fillId="0" borderId="18" applyAlignment="1" applyProtection="1" pivotButton="0" quotePrefix="0" xfId="1">
      <alignment horizontal="center" vertical="center"/>
      <protection locked="0" hidden="0"/>
    </xf>
    <xf numFmtId="49" fontId="2" fillId="0" borderId="18" applyAlignment="1" applyProtection="1" pivotButton="0" quotePrefix="0" xfId="1">
      <alignment horizontal="center" vertical="center"/>
      <protection locked="0" hidden="0"/>
    </xf>
    <xf numFmtId="49" fontId="14" fillId="0" borderId="18" applyAlignment="1" applyProtection="1" pivotButton="0" quotePrefix="0" xfId="0">
      <alignment horizontal="center" vertical="center"/>
      <protection locked="0" hidden="0"/>
    </xf>
    <xf numFmtId="49" fontId="25" fillId="0" borderId="18" applyAlignment="1" applyProtection="1" pivotButton="0" quotePrefix="0" xfId="2">
      <alignment horizontal="left" vertical="center"/>
      <protection locked="0" hidden="0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0" fontId="0" fillId="0" borderId="17" applyProtection="1" pivotButton="0" quotePrefix="0" xfId="0">
      <protection locked="0" hidden="1"/>
    </xf>
    <xf numFmtId="171" fontId="5" fillId="0" borderId="8" applyAlignment="1" applyProtection="1" pivotButton="0" quotePrefix="0" xfId="6">
      <alignment vertical="center"/>
      <protection locked="0" hidden="1"/>
    </xf>
    <xf numFmtId="167" fontId="2" fillId="0" borderId="0" applyAlignment="1" pivotButton="0" quotePrefix="0" xfId="1">
      <alignment horizontal="center" vertical="center"/>
    </xf>
    <xf numFmtId="167" fontId="2" fillId="0" borderId="18" applyAlignment="1" pivotButton="0" quotePrefix="0" xfId="1">
      <alignment horizontal="left" vertical="center" wrapText="1"/>
    </xf>
    <xf numFmtId="0" fontId="14" fillId="4" borderId="50" applyAlignment="1" pivotButton="0" quotePrefix="0" xfId="0">
      <alignment horizontal="left" vertical="center" wrapText="1"/>
    </xf>
    <xf numFmtId="0" fontId="14" fillId="4" borderId="52" applyAlignment="1" pivotButton="0" quotePrefix="0" xfId="0">
      <alignment horizontal="left" vertical="center" wrapText="1"/>
    </xf>
    <xf numFmtId="0" fontId="0" fillId="0" borderId="44" pivotButton="0" quotePrefix="0" xfId="0"/>
    <xf numFmtId="0" fontId="14" fillId="4" borderId="51" applyAlignment="1" pivotButton="0" quotePrefix="0" xfId="0">
      <alignment horizontal="left" vertical="center" wrapText="1"/>
    </xf>
    <xf numFmtId="0" fontId="0" fillId="0" borderId="20" applyProtection="1" pivotButton="0" quotePrefix="0" xfId="0">
      <protection locked="0" hidden="0"/>
    </xf>
    <xf numFmtId="0" fontId="2" fillId="0" borderId="53" applyAlignment="1" pivotButton="0" quotePrefix="0" xfId="3">
      <alignment horizontal="left" vertical="center"/>
    </xf>
    <xf numFmtId="0" fontId="0" fillId="0" borderId="40" pivotButton="0" quotePrefix="0" xfId="0"/>
    <xf numFmtId="0" fontId="2" fillId="0" borderId="54" applyAlignment="1" pivotButton="0" quotePrefix="0" xfId="1">
      <alignment horizontal="left" vertical="center" wrapText="1"/>
    </xf>
    <xf numFmtId="0" fontId="0" fillId="0" borderId="7" pivotButton="0" quotePrefix="0" xfId="0"/>
    <xf numFmtId="0" fontId="2" fillId="0" borderId="47" applyAlignment="1" pivotButton="0" quotePrefix="0" xfId="3">
      <alignment horizontal="left" vertical="center"/>
    </xf>
    <xf numFmtId="0" fontId="0" fillId="0" borderId="8" pivotButton="0" quotePrefix="0" xfId="0"/>
    <xf numFmtId="14" fontId="2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2" fillId="0" borderId="48" applyAlignment="1" pivotButton="0" quotePrefix="0" xfId="3">
      <alignment horizontal="left" vertical="center" wrapText="1"/>
    </xf>
    <xf numFmtId="0" fontId="0" fillId="0" borderId="9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8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39" pivotButton="0" quotePrefix="0" xfId="0"/>
    <xf numFmtId="0" fontId="13" fillId="2" borderId="35" applyAlignment="1" pivotButton="0" quotePrefix="0" xfId="0">
      <alignment horizontal="left" vertical="center"/>
    </xf>
    <xf numFmtId="0" fontId="13" fillId="0" borderId="18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left" vertical="center"/>
    </xf>
    <xf numFmtId="0" fontId="13" fillId="0" borderId="55" applyAlignment="1" applyProtection="1" pivotButton="0" quotePrefix="0" xfId="0">
      <alignment horizontal="center" vertical="center"/>
      <protection locked="0" hidden="0"/>
    </xf>
    <xf numFmtId="0" fontId="0" fillId="0" borderId="44" applyProtection="1" pivotButton="0" quotePrefix="0" xfId="0">
      <protection locked="0" hidden="0"/>
    </xf>
    <xf numFmtId="0" fontId="13" fillId="0" borderId="55" applyAlignment="1" pivotButton="0" quotePrefix="0" xfId="0">
      <alignment horizontal="center" vertical="center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4" fillId="0" borderId="55" applyAlignment="1" applyProtection="1" pivotButton="0" quotePrefix="0" xfId="0">
      <alignment horizontal="center" vertical="center"/>
      <protection locked="0" hidden="0"/>
    </xf>
    <xf numFmtId="0" fontId="0" fillId="0" borderId="33" applyProtection="1" pivotButton="0" quotePrefix="0" xfId="0">
      <protection locked="1" hidden="1"/>
    </xf>
    <xf numFmtId="170" fontId="14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</cellXfs>
  <cellStyles count="8">
    <cellStyle name="Normal" xfId="0" builtinId="0"/>
    <cellStyle name="Normal 3" xfId="1"/>
    <cellStyle name="Hiperlink" xfId="2" builtinId="8"/>
    <cellStyle name="Normal 4" xfId="3"/>
    <cellStyle name="Hiperlink 2" xfId="4"/>
    <cellStyle name="Normal 4 2" xfId="5"/>
    <cellStyle name="Vírgula" xfId="6" builtinId="3"/>
    <cellStyle name="Porcentagem" xfId="7" builtinId="5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Equatorial</author>
  </authors>
  <commentList>
    <comment ref="F57" authorId="0" shapeId="0">
      <text>
        <t>Equatorial:
(Descrição do Sistema de Armazenamento -“bateria”)</t>
      </text>
    </comment>
    <comment ref="AC57" authorId="0" shapeId="0">
      <text>
        <t>Equatorial:
Informar apenas a potência que será injetada na rede. Aplicável somente aos casos onde será instalado sistema com limitação de potência injetável, inclusive zero-grid. Demais casos deixar em branco.</t>
      </text>
    </comment>
  </commentList>
</comments>
</file>

<file path=xl/comments/comment2.xml><?xml version="1.0" encoding="utf-8"?>
<comments xmlns="http://schemas.openxmlformats.org/spreadsheetml/2006/main">
  <authors>
    <author>FELIPE AUGUSTO TORRES DE ARAUJO</author>
  </authors>
  <commentList>
    <comment ref="B6" authorId="0" shapeId="0">
      <text>
        <t>Caso não haja indicação, o excedente de energia será alocado como crédito em favor da unidade consumidora de maior consumo medido.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gif" Id="rId1"/></Relationships>
</file>

<file path=xl/drawings/drawing1.xml><?xml version="1.0" encoding="utf-8"?>
<wsDr xmlns="http://schemas.openxmlformats.org/drawingml/2006/spreadsheetDrawing">
  <twoCellAnchor editAs="oneCell">
    <from>
      <col>2</col>
      <colOff>25077</colOff>
      <row>2</row>
      <rowOff>190498</rowOff>
    </from>
    <to>
      <col>5</col>
      <colOff>13944</colOff>
      <row>4</row>
      <rowOff>244928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4152" y="419098"/>
          <a:ext cx="1808142" cy="664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489858</colOff>
      <row>100</row>
      <rowOff>503464</rowOff>
    </from>
    <to>
      <col>7</col>
      <colOff>369421</colOff>
      <row>101</row>
      <rowOff>544286</rowOff>
    </to>
    <pic>
      <nvPicPr>
        <cNvPr id="3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06287" y="24397607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25</col>
      <colOff>231322</colOff>
      <row>109</row>
      <rowOff>163286</rowOff>
    </from>
    <to>
      <col>30</col>
      <colOff>219742</colOff>
      <row>113</row>
      <rowOff>54429</rowOff>
    </to>
    <pic>
      <nvPicPr>
        <cNvPr id="4" name="Imagem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014858" y="26601965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28576</colOff>
      <row>1</row>
      <rowOff>38100</rowOff>
    </from>
    <to>
      <col>2</col>
      <colOff>609600</colOff>
      <row>1</row>
      <rowOff>390525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1926" y="304800"/>
          <a:ext cx="1057274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659"/>
  <sheetViews>
    <sheetView showGridLines="0" workbookViewId="0">
      <selection activeCell="D30" sqref="D30"/>
    </sheetView>
  </sheetViews>
  <sheetFormatPr baseColWidth="8" defaultRowHeight="14.45"/>
  <cols>
    <col width="1.7109375" customWidth="1" min="1" max="1"/>
    <col width="3.28515625" bestFit="1" customWidth="1" style="83" min="2" max="2"/>
    <col width="5" customWidth="1" min="3" max="3"/>
    <col width="20.28515625" customWidth="1" min="4" max="4"/>
    <col width="11.42578125" customWidth="1" min="5" max="5"/>
    <col width="21.85546875" customWidth="1" min="6" max="6"/>
    <col width="18" bestFit="1" customWidth="1" min="7" max="7"/>
    <col width="22.85546875" bestFit="1" customWidth="1" min="8" max="8"/>
    <col width="9.85546875" customWidth="1" min="12" max="12"/>
    <col width="1.7109375" customWidth="1" min="13" max="13"/>
  </cols>
  <sheetData>
    <row r="1" ht="9.949999999999999" customHeight="1" thickBot="1"/>
    <row r="2" ht="15" customHeight="1" thickBot="1">
      <c r="B2" s="414" t="inlineStr">
        <is>
          <t>ROTEIRO DE PREENCHIMENTO DO FORMULÁRIO DE SOLICITAÇÃO DE ORÇAMENTO E RESPECTIVAS GUIAS</t>
        </is>
      </c>
      <c r="C2" s="415" t="n"/>
      <c r="D2" s="415" t="n"/>
      <c r="E2" s="415" t="n"/>
      <c r="F2" s="415" t="n"/>
      <c r="G2" s="415" t="n"/>
      <c r="H2" s="415" t="n"/>
      <c r="I2" s="415" t="n"/>
      <c r="J2" s="415" t="n"/>
      <c r="K2" s="415" t="n"/>
      <c r="L2" s="416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2" t="n"/>
      <c r="AI2" s="82" t="n"/>
      <c r="AJ2" s="82" t="n"/>
      <c r="AK2" s="82" t="n"/>
    </row>
    <row r="3" ht="9.949999999999999" customHeight="1">
      <c r="B3" s="87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9" t="n"/>
      <c r="M3" s="82" t="n"/>
      <c r="N3" s="82" t="n"/>
      <c r="O3" s="82" t="n"/>
      <c r="P3" s="82" t="n"/>
      <c r="Q3" s="82" t="n"/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</row>
    <row r="4">
      <c r="B4" s="90" t="inlineStr">
        <is>
          <t>1º)</t>
        </is>
      </c>
      <c r="C4" s="43" t="inlineStr">
        <is>
          <t>Preencher a GUIA 0 nos campos correspontes ao tipo de fonte de geração de energia elétrica</t>
        </is>
      </c>
      <c r="D4" s="43" t="n"/>
      <c r="E4" s="43" t="n"/>
      <c r="F4" s="43" t="n"/>
      <c r="G4" s="43" t="n"/>
      <c r="H4" s="43" t="n"/>
      <c r="I4" s="43" t="n"/>
      <c r="J4" s="43" t="n"/>
      <c r="K4" s="43" t="n"/>
      <c r="L4" s="91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82" t="n"/>
      <c r="AJ4" s="82" t="n"/>
      <c r="AK4" s="82" t="n"/>
    </row>
    <row r="5">
      <c r="B5" s="90" t="n"/>
      <c r="C5" s="84" t="inlineStr">
        <is>
          <t>SOLAR FOTOVOLTAICA - Preencher os itens 1 (fonte) e 2 (inversor), conforme a quantidade de arranjos e inversores.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91" t="n"/>
      <c r="M5" s="82" t="n"/>
      <c r="N5" s="82" t="n"/>
      <c r="O5" s="82" t="n"/>
      <c r="P5" s="82" t="n"/>
      <c r="Q5" s="82" t="n"/>
      <c r="R5" s="82" t="n"/>
      <c r="S5" s="82" t="n"/>
      <c r="T5" s="82" t="n"/>
      <c r="U5" s="82" t="n"/>
      <c r="V5" s="82" t="n"/>
      <c r="W5" s="82" t="n"/>
      <c r="X5" s="82" t="n"/>
      <c r="Y5" s="82" t="n"/>
      <c r="Z5" s="82" t="n"/>
      <c r="AA5" s="82" t="n"/>
      <c r="AB5" s="82" t="n"/>
      <c r="AC5" s="82" t="n"/>
      <c r="AD5" s="82" t="n"/>
      <c r="AE5" s="82" t="n"/>
      <c r="AF5" s="82" t="n"/>
      <c r="AG5" s="82" t="n"/>
      <c r="AH5" s="82" t="n"/>
      <c r="AI5" s="82" t="n"/>
      <c r="AJ5" s="82" t="n"/>
      <c r="AK5" s="82" t="n"/>
    </row>
    <row r="6">
      <c r="B6" s="90" t="n"/>
      <c r="C6" s="92" t="inlineStr">
        <is>
          <t>No item 1, existem espaços para até 10 arranjos. Cada linha corresponde as informações de 1 arranjo, preencher cada célula, exceto as da coluna POTÊNCIA</t>
        </is>
      </c>
      <c r="D6" s="43" t="n"/>
      <c r="E6" s="43" t="n"/>
      <c r="F6" s="43" t="n"/>
      <c r="G6" s="43" t="n"/>
      <c r="H6" s="43" t="n"/>
      <c r="I6" s="43" t="n"/>
      <c r="J6" s="43" t="n"/>
      <c r="K6" s="43" t="n"/>
      <c r="L6" s="91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</row>
    <row r="7">
      <c r="B7" s="90" t="n"/>
      <c r="C7" s="92" t="inlineStr">
        <is>
          <t>DE PICO e as células da linha TOTAL, pois estas células são calculadas automaticamente.</t>
        </is>
      </c>
      <c r="D7" s="43" t="n"/>
      <c r="E7" s="43" t="n"/>
      <c r="F7" s="43" t="n"/>
      <c r="G7" s="43" t="n"/>
      <c r="H7" s="43" t="n"/>
      <c r="I7" s="43" t="n"/>
      <c r="J7" s="43" t="n"/>
      <c r="K7" s="43" t="n"/>
      <c r="L7" s="91" t="n"/>
      <c r="M7" s="82" t="n"/>
      <c r="N7" s="82" t="n"/>
      <c r="O7" s="82" t="n"/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  <c r="AA7" s="82" t="n"/>
      <c r="AB7" s="82" t="n"/>
      <c r="AC7" s="82" t="n"/>
      <c r="AD7" s="82" t="n"/>
      <c r="AE7" s="82" t="n"/>
      <c r="AF7" s="82" t="n"/>
      <c r="AG7" s="82" t="n"/>
      <c r="AH7" s="82" t="n"/>
      <c r="AI7" s="82" t="n"/>
      <c r="AJ7" s="82" t="n"/>
      <c r="AK7" s="82" t="n"/>
    </row>
    <row r="8">
      <c r="B8" s="90" t="n"/>
      <c r="C8" s="92" t="inlineStr">
        <is>
          <t>No item 2, existem espaços para até 10 inversores. Cada linha corresponde as informações de 1 inversor, preencher todas as células, exceto a célula da linha</t>
        </is>
      </c>
      <c r="D8" s="43" t="n"/>
      <c r="E8" s="43" t="n"/>
      <c r="F8" s="43" t="n"/>
      <c r="G8" s="43" t="n"/>
      <c r="H8" s="43" t="n"/>
      <c r="I8" s="43" t="n"/>
      <c r="J8" s="43" t="n"/>
      <c r="K8" s="43" t="n"/>
      <c r="L8" s="91" t="n"/>
      <c r="M8" s="82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  <c r="AH8" s="82" t="n"/>
      <c r="AI8" s="82" t="n"/>
      <c r="AJ8" s="82" t="n"/>
      <c r="AK8" s="82" t="n"/>
    </row>
    <row r="9">
      <c r="B9" s="90" t="n"/>
      <c r="C9" s="92" t="inlineStr">
        <is>
          <t>TOTAL, pois está célula é calculada automaticamente.</t>
        </is>
      </c>
      <c r="D9" s="43" t="n"/>
      <c r="E9" s="43" t="n"/>
      <c r="F9" s="43" t="n"/>
      <c r="G9" s="43" t="n"/>
      <c r="H9" s="43" t="n"/>
      <c r="I9" s="43" t="n"/>
      <c r="J9" s="43" t="n"/>
      <c r="K9" s="43" t="n"/>
      <c r="L9" s="91" t="n"/>
      <c r="M9" s="82" t="n"/>
      <c r="N9" s="82" t="n"/>
      <c r="O9" s="82" t="n"/>
      <c r="P9" s="82" t="n"/>
      <c r="Q9" s="82" t="n"/>
      <c r="R9" s="82" t="n"/>
      <c r="S9" s="82" t="n"/>
      <c r="T9" s="82" t="n"/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</row>
    <row r="10">
      <c r="B10" s="90" t="n"/>
      <c r="C10" s="84" t="inlineStr">
        <is>
          <t>EÓLICA - Preencher os itens 2 (inversor) e 3 (fonte). Preencher conforme a quantidade de geradores e inversores.</t>
        </is>
      </c>
      <c r="D10" s="43" t="n"/>
      <c r="E10" s="43" t="n"/>
      <c r="F10" s="43" t="n"/>
      <c r="G10" s="43" t="n"/>
      <c r="H10" s="43" t="n"/>
      <c r="I10" s="43" t="n"/>
      <c r="J10" s="43" t="n"/>
      <c r="K10" s="43" t="n"/>
      <c r="L10" s="91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82" t="n"/>
      <c r="AJ10" s="82" t="n"/>
      <c r="AK10" s="82" t="n"/>
    </row>
    <row r="11">
      <c r="B11" s="90" t="n"/>
      <c r="C11" s="92" t="inlineStr">
        <is>
          <t>No item 2, existem espaços para até 10 inversores. Cada linha corresponde as informações de 1 inversor, preencher todas as células, exceto a célula da linha</t>
        </is>
      </c>
      <c r="D11" s="43" t="n"/>
      <c r="E11" s="43" t="n"/>
      <c r="F11" s="43" t="n"/>
      <c r="G11" s="43" t="n"/>
      <c r="H11" s="43" t="n"/>
      <c r="I11" s="43" t="n"/>
      <c r="J11" s="43" t="n"/>
      <c r="K11" s="43" t="n"/>
      <c r="L11" s="91" t="n"/>
      <c r="M11" s="82" t="n"/>
      <c r="N11" s="82" t="n"/>
      <c r="O11" s="82" t="n"/>
      <c r="P11" s="82" t="n"/>
      <c r="Q11" s="82" t="n"/>
      <c r="R11" s="82" t="n"/>
      <c r="S11" s="82" t="n"/>
      <c r="T11" s="82" t="n"/>
      <c r="U11" s="82" t="n"/>
      <c r="V11" s="82" t="n"/>
      <c r="W11" s="82" t="n"/>
      <c r="X11" s="82" t="n"/>
      <c r="Y11" s="82" t="n"/>
      <c r="Z11" s="82" t="n"/>
      <c r="AA11" s="82" t="n"/>
      <c r="AB11" s="82" t="n"/>
      <c r="AC11" s="82" t="n"/>
      <c r="AD11" s="82" t="n"/>
      <c r="AE11" s="82" t="n"/>
      <c r="AF11" s="82" t="n"/>
      <c r="AG11" s="82" t="n"/>
      <c r="AH11" s="82" t="n"/>
      <c r="AI11" s="82" t="n"/>
      <c r="AJ11" s="82" t="n"/>
      <c r="AK11" s="82" t="n"/>
    </row>
    <row r="12">
      <c r="B12" s="90" t="n"/>
      <c r="C12" s="92" t="inlineStr">
        <is>
          <t>TOTAL, pois está célula é calculada automaticamente.</t>
        </is>
      </c>
      <c r="D12" s="43" t="n"/>
      <c r="E12" s="43" t="n"/>
      <c r="F12" s="43" t="n"/>
      <c r="G12" s="43" t="n"/>
      <c r="H12" s="43" t="n"/>
      <c r="I12" s="43" t="n"/>
      <c r="J12" s="43" t="n"/>
      <c r="K12" s="43" t="n"/>
      <c r="L12" s="91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  <c r="AA12" s="82" t="n"/>
      <c r="AB12" s="82" t="n"/>
      <c r="AC12" s="82" t="n"/>
      <c r="AD12" s="82" t="n"/>
      <c r="AE12" s="82" t="n"/>
      <c r="AF12" s="82" t="n"/>
      <c r="AG12" s="82" t="n"/>
      <c r="AH12" s="82" t="n"/>
      <c r="AI12" s="82" t="n"/>
      <c r="AJ12" s="82" t="n"/>
      <c r="AK12" s="82" t="n"/>
    </row>
    <row r="13">
      <c r="B13" s="90" t="n"/>
      <c r="C13" s="92" t="inlineStr">
        <is>
          <t>No item 3, existem espaços para até 10 geradores. Cada linha corresponde as informações de 1 gerador, preencher cada célula, exceto as células da linha</t>
        </is>
      </c>
      <c r="D13" s="43" t="n"/>
      <c r="E13" s="43" t="n"/>
      <c r="F13" s="43" t="n"/>
      <c r="G13" s="43" t="n"/>
      <c r="H13" s="43" t="n"/>
      <c r="I13" s="43" t="n"/>
      <c r="J13" s="43" t="n"/>
      <c r="K13" s="43" t="n"/>
      <c r="L13" s="91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82" t="n"/>
      <c r="AJ13" s="82" t="n"/>
      <c r="AK13" s="82" t="n"/>
    </row>
    <row r="14">
      <c r="B14" s="90" t="n"/>
      <c r="C14" s="92" t="inlineStr">
        <is>
          <t>TOTAL, pois estas células são calculadas automaticamente.</t>
        </is>
      </c>
      <c r="D14" s="43" t="n"/>
      <c r="E14" s="43" t="n"/>
      <c r="F14" s="43" t="n"/>
      <c r="G14" s="43" t="n"/>
      <c r="H14" s="43" t="n"/>
      <c r="I14" s="43" t="n"/>
      <c r="J14" s="43" t="n"/>
      <c r="K14" s="43" t="n"/>
      <c r="L14" s="91" t="n"/>
      <c r="M14" s="82" t="n"/>
      <c r="N14" s="82" t="n"/>
      <c r="O14" s="82" t="n"/>
      <c r="P14" s="82" t="n"/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  <c r="AH14" s="82" t="n"/>
      <c r="AI14" s="82" t="n"/>
      <c r="AJ14" s="82" t="n"/>
      <c r="AK14" s="82" t="n"/>
    </row>
    <row r="15">
      <c r="B15" s="90" t="n"/>
      <c r="C15" s="84" t="inlineStr">
        <is>
          <t>HIDRÁULICA - Preencher o item 4, conforme a quantidade de geradores. Cada linha corresponde a 1 gerador, preencher cada célula, exceto as células da coluna</t>
        </is>
      </c>
      <c r="D15" s="43" t="n"/>
      <c r="E15" s="43" t="n"/>
      <c r="F15" s="43" t="n"/>
      <c r="G15" s="43" t="n"/>
      <c r="H15" s="43" t="n"/>
      <c r="I15" s="43" t="n"/>
      <c r="J15" s="43" t="n"/>
      <c r="K15" s="43" t="n"/>
      <c r="L15" s="91" t="n"/>
      <c r="M15" s="82" t="n"/>
      <c r="N15" s="82" t="n"/>
      <c r="O15" s="82" t="n"/>
      <c r="P15" s="82" t="n"/>
      <c r="Q15" s="82" t="n"/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</row>
    <row r="16">
      <c r="B16" s="90" t="n"/>
      <c r="C16" s="92" t="inlineStr">
        <is>
          <t>POTENCIA DO GERADOR e as da linha TOTAL, pois estas células são calculadas automaticamente</t>
        </is>
      </c>
      <c r="D16" s="43" t="n"/>
      <c r="E16" s="43" t="n"/>
      <c r="F16" s="43" t="n"/>
      <c r="G16" s="43" t="n"/>
      <c r="H16" s="43" t="n"/>
      <c r="I16" s="43" t="n"/>
      <c r="J16" s="43" t="n"/>
      <c r="K16" s="43" t="n"/>
      <c r="L16" s="91" t="n"/>
      <c r="M16" s="82" t="n"/>
      <c r="N16" s="82" t="n"/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82" t="n"/>
      <c r="AJ16" s="82" t="n"/>
      <c r="AK16" s="82" t="n"/>
    </row>
    <row r="17">
      <c r="B17" s="90" t="n"/>
      <c r="C17" s="84" t="inlineStr">
        <is>
          <t>BIOMASSA, COGERAÇÃO E OUTROS - Preencher o item 5. Preencher todas as células, exceto a célula correspondente a POTÊNCIA MÁXIMA EM REGIME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  <c r="L17" s="91" t="n"/>
      <c r="M17" s="82" t="n"/>
      <c r="N17" s="82" t="n"/>
      <c r="O17" s="82" t="n"/>
      <c r="P17" s="82" t="n"/>
      <c r="Q17" s="82" t="n"/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</row>
    <row r="18">
      <c r="B18" s="90" t="n"/>
      <c r="C18" s="92" t="inlineStr">
        <is>
          <t>CONTINUO, pois esta células é calculada automaticamente a partir das informações de POTÊNCIA NOMINAL DA PLACA (KVA) e FATOR DE POTÊNCIA</t>
        </is>
      </c>
      <c r="D18" s="43" t="n"/>
      <c r="E18" s="43" t="n"/>
      <c r="F18" s="43" t="n"/>
      <c r="G18" s="43" t="n"/>
      <c r="H18" s="43" t="n"/>
      <c r="I18" s="43" t="n"/>
      <c r="J18" s="43" t="n"/>
      <c r="K18" s="43" t="n"/>
      <c r="L18" s="91" t="n"/>
      <c r="M18" s="82" t="n"/>
      <c r="N18" s="82" t="n"/>
      <c r="O18" s="82" t="n"/>
      <c r="P18" s="82" t="n"/>
      <c r="Q18" s="82" t="n"/>
      <c r="R18" s="82" t="n"/>
      <c r="S18" s="82" t="n"/>
      <c r="T18" s="82" t="n"/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</row>
    <row r="19">
      <c r="B19" s="90" t="inlineStr">
        <is>
          <t>2º)</t>
        </is>
      </c>
      <c r="C19" s="43" t="inlineStr">
        <is>
          <t>Preencher a GUIA 1, obrigatoriamente todos os campos destacados em vermelho. Quando os itens em vermelho forem preenchidos, a tarja vermelha irá</t>
        </is>
      </c>
      <c r="D19" s="43" t="n"/>
      <c r="E19" s="43" t="n"/>
      <c r="F19" s="43" t="n"/>
      <c r="G19" s="43" t="n"/>
      <c r="H19" s="43" t="n"/>
      <c r="I19" s="43" t="n"/>
      <c r="J19" s="43" t="n"/>
      <c r="K19" s="43" t="n"/>
      <c r="L19" s="91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</row>
    <row r="20">
      <c r="B20" s="90" t="n"/>
      <c r="C20" s="43" t="inlineStr">
        <is>
          <t>desaparecer.</t>
        </is>
      </c>
      <c r="D20" s="43" t="n"/>
      <c r="E20" s="43" t="n"/>
      <c r="F20" s="43" t="n"/>
      <c r="G20" s="43" t="n"/>
      <c r="H20" s="43" t="n"/>
      <c r="I20" s="43" t="n"/>
      <c r="J20" s="43" t="n"/>
      <c r="K20" s="43" t="n"/>
      <c r="L20" s="91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</row>
    <row r="21">
      <c r="B21" s="90" t="n"/>
      <c r="C21" s="43" t="inlineStr">
        <is>
          <t>Preecher o item 1 DADOS CADASTRAIS DA UNIDADE CONSUMIDORA. Nos campos selecionáveis devem ser selecionadas as informações que se aplicam a UC.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91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82" t="n"/>
      <c r="X21" s="82" t="n"/>
      <c r="Y21" s="82" t="n"/>
      <c r="Z21" s="82" t="n"/>
      <c r="AA21" s="82" t="n"/>
      <c r="AB21" s="82" t="n"/>
      <c r="AC21" s="82" t="n"/>
      <c r="AD21" s="82" t="n"/>
      <c r="AE21" s="82" t="n"/>
      <c r="AF21" s="82" t="n"/>
      <c r="AG21" s="82" t="n"/>
      <c r="AH21" s="82" t="n"/>
      <c r="AI21" s="82" t="n"/>
      <c r="AJ21" s="82" t="n"/>
      <c r="AK21" s="82" t="n"/>
    </row>
    <row r="22">
      <c r="B22" s="90" t="n"/>
      <c r="C22" s="43" t="inlineStr">
        <is>
          <t>Preecher o item 2 DADOS DO RESPONSÁVEL TÉCNICOS.</t>
        </is>
      </c>
      <c r="D22" s="43" t="n"/>
      <c r="E22" s="43" t="n"/>
      <c r="F22" s="43" t="n"/>
      <c r="G22" s="43" t="n"/>
      <c r="H22" s="43" t="n"/>
      <c r="I22" s="43" t="n"/>
      <c r="J22" s="43" t="n"/>
      <c r="K22" s="43" t="n"/>
      <c r="L22" s="91" t="n"/>
      <c r="M22" s="82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</row>
    <row r="23">
      <c r="B23" s="90" t="n"/>
      <c r="C23" s="43" t="inlineStr">
        <is>
          <t xml:space="preserve">Preecher o item 3 CARACTERÍSTICAS DA MINIGERAÇÃO DISTRIBUÍDA. </t>
        </is>
      </c>
      <c r="D23" s="43" t="n"/>
      <c r="E23" s="43" t="n"/>
      <c r="F23" s="43" t="n"/>
      <c r="G23" s="43" t="n"/>
      <c r="H23" s="43" t="n"/>
      <c r="I23" s="43" t="n"/>
      <c r="J23" s="43" t="n"/>
      <c r="K23" s="43" t="n"/>
      <c r="L23" s="91" t="n"/>
      <c r="M23" s="82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</row>
    <row r="24">
      <c r="B24" s="90" t="n"/>
      <c r="C24" s="92" t="inlineStr">
        <is>
          <t>Selecionar o TIPO DE GERAÇÃO (SOLAR, EÓLICO, BIOMASSA, COGERAÇÃO QUALIFICADA, etc. Se for necessário especificar a fonte primária</t>
        </is>
      </c>
      <c r="D24" s="43" t="n"/>
      <c r="E24" s="43" t="n"/>
      <c r="F24" s="43" t="n"/>
      <c r="G24" s="43" t="n"/>
      <c r="H24" s="43" t="n"/>
      <c r="I24" s="43" t="n"/>
      <c r="J24" s="43" t="n"/>
      <c r="K24" s="43" t="n"/>
      <c r="L24" s="91" t="n"/>
      <c r="M24" s="82" t="n"/>
      <c r="N24" s="82" t="n"/>
      <c r="O24" s="82" t="n"/>
      <c r="P24" s="82" t="n"/>
      <c r="Q24" s="82" t="n"/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</row>
    <row r="25">
      <c r="B25" s="90" t="n"/>
      <c r="C25" s="92" t="inlineStr">
        <is>
          <t>Selecionar o ENQUADRAMENTO DA MICRO (compensação local, autoconsumo remoto, geração compartilhada ou EMUC)</t>
        </is>
      </c>
      <c r="D25" s="43" t="n"/>
      <c r="E25" s="43" t="n"/>
      <c r="F25" s="43" t="n"/>
      <c r="G25" s="43" t="n"/>
      <c r="H25" s="43" t="n"/>
      <c r="I25" s="43" t="n"/>
      <c r="J25" s="43" t="n"/>
      <c r="K25" s="43" t="n"/>
      <c r="L25" s="91" t="n"/>
      <c r="M25" s="82" t="n"/>
      <c r="N25" s="82" t="n"/>
      <c r="O25" s="82" t="n"/>
      <c r="P25" s="82" t="n"/>
      <c r="Q25" s="82" t="n"/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</row>
    <row r="26">
      <c r="B26" s="90" t="n"/>
      <c r="C26" s="92" t="inlineStr">
        <is>
          <t>Preecher o campo DATA DE INÍCIO DA OPERAÇÃO.</t>
        </is>
      </c>
      <c r="D26" s="43" t="n"/>
      <c r="E26" s="43" t="n"/>
      <c r="F26" s="43" t="n"/>
      <c r="G26" s="43" t="n"/>
      <c r="H26" s="43" t="n"/>
      <c r="I26" s="43" t="n"/>
      <c r="J26" s="43" t="n"/>
      <c r="K26" s="43" t="n"/>
      <c r="L26" s="91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</row>
    <row r="27">
      <c r="B27" s="90" t="n"/>
      <c r="C27" s="92" t="inlineStr">
        <is>
          <t>Todos os demais campo deste item são calculados automaticamente, desde que a GUIA 0 e o itens anteriores da GUIA 1 sejam preenchidos corretamente</t>
        </is>
      </c>
      <c r="D27" s="43" t="n"/>
      <c r="E27" s="43" t="n"/>
      <c r="F27" s="43" t="n"/>
      <c r="G27" s="43" t="n"/>
      <c r="H27" s="43" t="n"/>
      <c r="I27" s="43" t="n"/>
      <c r="J27" s="43" t="n"/>
      <c r="K27" s="43" t="n"/>
      <c r="L27" s="91" t="n"/>
      <c r="M27" s="82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</row>
    <row r="28">
      <c r="B28" s="90" t="inlineStr">
        <is>
          <t>3º)</t>
        </is>
      </c>
      <c r="C28" s="43" t="inlineStr">
        <is>
          <t>Preencher a GUIA 2, apenas do casos de AUTOCONSUMO REMOTO, GERAÇÃO COMPARTILHADA E EMPREENDIMENTO DE MÚLTIPLAS</t>
        </is>
      </c>
      <c r="D28" s="43" t="n"/>
      <c r="E28" s="43" t="n"/>
      <c r="F28" s="43" t="n"/>
      <c r="G28" s="43" t="n"/>
      <c r="H28" s="43" t="n"/>
      <c r="I28" s="43" t="n"/>
      <c r="J28" s="43" t="n"/>
      <c r="K28" s="43" t="n"/>
      <c r="L28" s="91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</row>
    <row r="29">
      <c r="B29" s="90" t="n"/>
      <c r="C29" s="92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91" t="n"/>
      <c r="M29" s="82" t="n"/>
      <c r="N29" s="82" t="n"/>
      <c r="O29" s="82" t="n"/>
      <c r="P29" s="82" t="n"/>
      <c r="Q29" s="82" t="n"/>
      <c r="R29" s="82" t="n"/>
      <c r="S29" s="82" t="n"/>
      <c r="T29" s="82" t="n"/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</row>
    <row r="30" ht="15" customHeight="1" thickBot="1">
      <c r="B30" s="93" t="inlineStr">
        <is>
          <t>OBS: Nos campos selecionáveis, caso o preenchimento vermelho não desapareça, clicar duas vezes ou selecionar outro valor e voltar para o valor desejado</t>
        </is>
      </c>
      <c r="C30" s="94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6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</row>
    <row r="31" ht="9.949999999999999" customHeight="1">
      <c r="B31" s="84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</row>
    <row r="32">
      <c r="B32" s="84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</row>
    <row r="33">
      <c r="B33" s="84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</row>
    <row r="34">
      <c r="B34" s="84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</row>
    <row r="35">
      <c r="B35" s="84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82" t="n"/>
      <c r="M35" s="82" t="n"/>
      <c r="N35" s="82" t="n"/>
      <c r="O35" s="82" t="n"/>
      <c r="P35" s="82" t="n"/>
      <c r="Q35" s="82" t="n"/>
      <c r="R35" s="82" t="n"/>
      <c r="S35" s="82" t="n"/>
      <c r="T35" s="82" t="n"/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</row>
    <row r="36">
      <c r="B36" s="84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</row>
    <row r="37">
      <c r="B37" s="84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</row>
    <row r="38">
      <c r="B38" s="84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</row>
    <row r="39">
      <c r="B39" s="84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</row>
    <row r="40">
      <c r="B40" s="84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82" t="n"/>
      <c r="M40" s="82" t="n"/>
      <c r="N40" s="82" t="n"/>
      <c r="O40" s="82" t="n"/>
      <c r="P40" s="82" t="n"/>
      <c r="Q40" s="82" t="n"/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</row>
    <row r="41">
      <c r="B41" s="84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</row>
    <row r="42">
      <c r="B42" s="84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82" t="n"/>
      <c r="M42" s="82" t="n"/>
      <c r="N42" s="82" t="n"/>
      <c r="O42" s="82" t="n"/>
      <c r="P42" s="82" t="n"/>
      <c r="Q42" s="82" t="n"/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</row>
    <row r="43">
      <c r="B43" s="84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</row>
    <row r="44">
      <c r="B44" s="84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</row>
    <row r="45">
      <c r="B45" s="84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</row>
    <row r="46">
      <c r="B46" s="84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</row>
    <row r="47">
      <c r="B47" s="84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</row>
    <row r="48">
      <c r="B48" s="84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</row>
    <row r="49">
      <c r="B49" s="84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82" t="n"/>
      <c r="M49" s="82" t="n"/>
      <c r="N49" s="82" t="n"/>
      <c r="O49" s="82" t="n"/>
      <c r="P49" s="82" t="n"/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</row>
    <row r="50">
      <c r="B50" s="84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</row>
    <row r="51">
      <c r="B51" s="84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82" t="n"/>
      <c r="M51" s="82" t="n"/>
      <c r="N51" s="82" t="n"/>
      <c r="O51" s="82" t="n"/>
      <c r="P51" s="82" t="n"/>
      <c r="Q51" s="82" t="n"/>
      <c r="R51" s="82" t="n"/>
      <c r="S51" s="82" t="n"/>
      <c r="T51" s="82" t="n"/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</row>
    <row r="52">
      <c r="B52" s="84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</row>
    <row r="53">
      <c r="B53" s="84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82" t="n"/>
      <c r="M53" s="82" t="n"/>
      <c r="N53" s="82" t="n"/>
      <c r="O53" s="82" t="n"/>
      <c r="P53" s="82" t="n"/>
      <c r="Q53" s="82" t="n"/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</row>
    <row r="54">
      <c r="B54" s="84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82" t="n"/>
      <c r="M54" s="82" t="n"/>
      <c r="N54" s="82" t="n"/>
      <c r="O54" s="82" t="n"/>
      <c r="P54" s="82" t="n"/>
      <c r="Q54" s="82" t="n"/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</row>
    <row r="55">
      <c r="B55" s="84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</row>
    <row r="56">
      <c r="B56" s="84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</row>
    <row r="57">
      <c r="B57" s="84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82" t="n"/>
      <c r="M57" s="82" t="n"/>
      <c r="N57" s="82" t="n"/>
      <c r="O57" s="82" t="n"/>
      <c r="P57" s="82" t="n"/>
      <c r="Q57" s="82" t="n"/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82" t="n"/>
      <c r="AJ57" s="82" t="n"/>
      <c r="AK57" s="82" t="n"/>
    </row>
    <row r="58">
      <c r="B58" s="84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82" t="n"/>
      <c r="M58" s="82" t="n"/>
      <c r="N58" s="82" t="n"/>
      <c r="O58" s="82" t="n"/>
      <c r="P58" s="82" t="n"/>
      <c r="Q58" s="82" t="n"/>
      <c r="R58" s="82" t="n"/>
      <c r="S58" s="82" t="n"/>
      <c r="T58" s="82" t="n"/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</row>
    <row r="59">
      <c r="B59" s="84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82" t="n"/>
      <c r="M59" s="82" t="n"/>
      <c r="N59" s="82" t="n"/>
      <c r="O59" s="82" t="n"/>
      <c r="P59" s="82" t="n"/>
      <c r="Q59" s="82" t="n"/>
      <c r="R59" s="82" t="n"/>
      <c r="S59" s="82" t="n"/>
      <c r="T59" s="82" t="n"/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</row>
    <row r="60">
      <c r="B60" s="84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82" t="n"/>
      <c r="M60" s="82" t="n"/>
      <c r="N60" s="82" t="n"/>
      <c r="O60" s="82" t="n"/>
      <c r="P60" s="82" t="n"/>
      <c r="Q60" s="82" t="n"/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</row>
    <row r="61">
      <c r="B61" s="84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</row>
    <row r="62">
      <c r="B62" s="84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82" t="n"/>
      <c r="M62" s="82" t="n"/>
      <c r="N62" s="82" t="n"/>
      <c r="O62" s="82" t="n"/>
      <c r="P62" s="82" t="n"/>
      <c r="Q62" s="82" t="n"/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</row>
    <row r="63">
      <c r="B63" s="84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82" t="n"/>
      <c r="M63" s="82" t="n"/>
      <c r="N63" s="82" t="n"/>
      <c r="O63" s="82" t="n"/>
      <c r="P63" s="82" t="n"/>
      <c r="Q63" s="82" t="n"/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</row>
    <row r="64">
      <c r="B64" s="84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82" t="n"/>
      <c r="V64" s="82" t="n"/>
      <c r="W64" s="82" t="n"/>
      <c r="X64" s="82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  <c r="AH64" s="82" t="n"/>
      <c r="AI64" s="82" t="n"/>
      <c r="AJ64" s="82" t="n"/>
      <c r="AK64" s="82" t="n"/>
    </row>
    <row r="65">
      <c r="B65" s="84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82" t="n"/>
      <c r="M65" s="82" t="n"/>
      <c r="N65" s="82" t="n"/>
      <c r="O65" s="82" t="n"/>
      <c r="P65" s="82" t="n"/>
      <c r="Q65" s="82" t="n"/>
      <c r="R65" s="82" t="n"/>
      <c r="S65" s="82" t="n"/>
      <c r="T65" s="82" t="n"/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</row>
    <row r="66">
      <c r="B66" s="84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</row>
    <row r="67">
      <c r="B67" s="84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82" t="n"/>
      <c r="M67" s="82" t="n"/>
      <c r="N67" s="82" t="n"/>
      <c r="O67" s="82" t="n"/>
      <c r="P67" s="82" t="n"/>
      <c r="Q67" s="82" t="n"/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</row>
    <row r="68">
      <c r="B68" s="84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</row>
    <row r="69">
      <c r="B69" s="84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</row>
    <row r="70">
      <c r="B70" s="84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</row>
    <row r="71">
      <c r="B71" s="84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82" t="n"/>
      <c r="AJ71" s="82" t="n"/>
      <c r="AK71" s="82" t="n"/>
    </row>
    <row r="72">
      <c r="B72" s="84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</row>
    <row r="73">
      <c r="B73" s="84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</row>
    <row r="74">
      <c r="B74" s="84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</row>
    <row r="75">
      <c r="B75" s="84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82" t="n"/>
      <c r="M75" s="82" t="n"/>
      <c r="N75" s="82" t="n"/>
      <c r="O75" s="82" t="n"/>
      <c r="P75" s="82" t="n"/>
      <c r="Q75" s="82" t="n"/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</row>
    <row r="76">
      <c r="B76" s="84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</row>
    <row r="77">
      <c r="B77" s="84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</row>
    <row r="78">
      <c r="B78" s="84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  <c r="AA78" s="82" t="n"/>
      <c r="AB78" s="82" t="n"/>
      <c r="AC78" s="82" t="n"/>
      <c r="AD78" s="82" t="n"/>
      <c r="AE78" s="82" t="n"/>
      <c r="AF78" s="82" t="n"/>
      <c r="AG78" s="82" t="n"/>
      <c r="AH78" s="82" t="n"/>
      <c r="AI78" s="82" t="n"/>
      <c r="AJ78" s="82" t="n"/>
      <c r="AK78" s="82" t="n"/>
    </row>
    <row r="79">
      <c r="B79" s="84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82" t="n"/>
      <c r="M79" s="82" t="n"/>
      <c r="N79" s="82" t="n"/>
      <c r="O79" s="82" t="n"/>
      <c r="P79" s="82" t="n"/>
      <c r="Q79" s="82" t="n"/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</row>
    <row r="80">
      <c r="B80" s="84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</row>
    <row r="81">
      <c r="B81" s="84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82" t="n"/>
      <c r="M81" s="82" t="n"/>
      <c r="N81" s="82" t="n"/>
      <c r="O81" s="82" t="n"/>
      <c r="P81" s="82" t="n"/>
      <c r="Q81" s="82" t="n"/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</row>
    <row r="82">
      <c r="B82" s="84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82" t="n"/>
      <c r="M82" s="82" t="n"/>
      <c r="N82" s="82" t="n"/>
      <c r="O82" s="82" t="n"/>
      <c r="P82" s="82" t="n"/>
      <c r="Q82" s="82" t="n"/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</row>
    <row r="83">
      <c r="B83" s="84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82" t="n"/>
      <c r="M83" s="82" t="n"/>
      <c r="N83" s="82" t="n"/>
      <c r="O83" s="82" t="n"/>
      <c r="P83" s="82" t="n"/>
      <c r="Q83" s="82" t="n"/>
      <c r="R83" s="82" t="n"/>
      <c r="S83" s="82" t="n"/>
      <c r="T83" s="82" t="n"/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</row>
    <row r="84">
      <c r="B84" s="84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82" t="n"/>
      <c r="M84" s="82" t="n"/>
      <c r="N84" s="82" t="n"/>
      <c r="O84" s="82" t="n"/>
      <c r="P84" s="82" t="n"/>
      <c r="Q84" s="82" t="n"/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</row>
    <row r="85">
      <c r="B85" s="84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82" t="n"/>
      <c r="M85" s="82" t="n"/>
      <c r="N85" s="82" t="n"/>
      <c r="O85" s="82" t="n"/>
      <c r="P85" s="82" t="n"/>
      <c r="Q85" s="82" t="n"/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82" t="n"/>
      <c r="AJ85" s="82" t="n"/>
      <c r="AK85" s="82" t="n"/>
    </row>
    <row r="86">
      <c r="B86" s="84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82" t="n"/>
      <c r="M86" s="82" t="n"/>
      <c r="N86" s="82" t="n"/>
      <c r="O86" s="82" t="n"/>
      <c r="P86" s="82" t="n"/>
      <c r="Q86" s="82" t="n"/>
      <c r="R86" s="82" t="n"/>
      <c r="S86" s="82" t="n"/>
      <c r="T86" s="82" t="n"/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</row>
    <row r="87">
      <c r="B87" s="84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82" t="n"/>
      <c r="M87" s="82" t="n"/>
      <c r="N87" s="82" t="n"/>
      <c r="O87" s="82" t="n"/>
      <c r="P87" s="82" t="n"/>
      <c r="Q87" s="82" t="n"/>
      <c r="R87" s="82" t="n"/>
      <c r="S87" s="82" t="n"/>
      <c r="T87" s="82" t="n"/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</row>
    <row r="88">
      <c r="B88" s="84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</row>
    <row r="89">
      <c r="B89" s="84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82" t="n"/>
      <c r="M89" s="82" t="n"/>
      <c r="N89" s="82" t="n"/>
      <c r="O89" s="82" t="n"/>
      <c r="P89" s="82" t="n"/>
      <c r="Q89" s="82" t="n"/>
      <c r="R89" s="82" t="n"/>
      <c r="S89" s="82" t="n"/>
      <c r="T89" s="82" t="n"/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</row>
    <row r="90">
      <c r="B90" s="84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</row>
    <row r="91">
      <c r="B91" s="84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82" t="n"/>
      <c r="M91" s="82" t="n"/>
      <c r="N91" s="82" t="n"/>
      <c r="O91" s="82" t="n"/>
      <c r="P91" s="82" t="n"/>
      <c r="Q91" s="82" t="n"/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</row>
    <row r="92">
      <c r="B92" s="84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82" t="n"/>
      <c r="AJ92" s="82" t="n"/>
      <c r="AK92" s="82" t="n"/>
    </row>
    <row r="93">
      <c r="B93" s="84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82" t="n"/>
      <c r="M93" s="82" t="n"/>
      <c r="N93" s="82" t="n"/>
      <c r="O93" s="82" t="n"/>
      <c r="P93" s="82" t="n"/>
      <c r="Q93" s="82" t="n"/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</row>
    <row r="94">
      <c r="B94" s="84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</row>
    <row r="95">
      <c r="B95" s="84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82" t="n"/>
      <c r="M95" s="82" t="n"/>
      <c r="N95" s="82" t="n"/>
      <c r="O95" s="82" t="n"/>
      <c r="P95" s="82" t="n"/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</row>
    <row r="96">
      <c r="B96" s="84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</row>
    <row r="97">
      <c r="B97" s="84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82" t="n"/>
      <c r="M97" s="82" t="n"/>
      <c r="N97" s="82" t="n"/>
      <c r="O97" s="82" t="n"/>
      <c r="P97" s="82" t="n"/>
      <c r="Q97" s="82" t="n"/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</row>
    <row r="98">
      <c r="B98" s="84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82" t="n"/>
      <c r="M98" s="82" t="n"/>
      <c r="N98" s="82" t="n"/>
      <c r="O98" s="82" t="n"/>
      <c r="P98" s="82" t="n"/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</row>
    <row r="99">
      <c r="B99" s="84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82" t="n"/>
      <c r="M99" s="82" t="n"/>
      <c r="N99" s="82" t="n"/>
      <c r="O99" s="82" t="n"/>
      <c r="P99" s="82" t="n"/>
      <c r="Q99" s="82" t="n"/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</row>
    <row r="100">
      <c r="B100" s="84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82" t="n"/>
      <c r="M100" s="82" t="n"/>
      <c r="N100" s="82" t="n"/>
      <c r="O100" s="82" t="n"/>
      <c r="P100" s="82" t="n"/>
      <c r="Q100" s="82" t="n"/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</row>
    <row r="101">
      <c r="B101" s="84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82" t="n"/>
      <c r="M101" s="82" t="n"/>
      <c r="N101" s="82" t="n"/>
      <c r="O101" s="82" t="n"/>
      <c r="P101" s="82" t="n"/>
      <c r="Q101" s="82" t="n"/>
      <c r="R101" s="82" t="n"/>
      <c r="S101" s="82" t="n"/>
      <c r="T101" s="82" t="n"/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</row>
    <row r="102">
      <c r="B102" s="84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82" t="n"/>
      <c r="M102" s="82" t="n"/>
      <c r="N102" s="82" t="n"/>
      <c r="O102" s="82" t="n"/>
      <c r="P102" s="82" t="n"/>
      <c r="Q102" s="82" t="n"/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</row>
    <row r="103">
      <c r="B103" s="84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</row>
    <row r="104">
      <c r="B104" s="84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82" t="n"/>
      <c r="M104" s="82" t="n"/>
      <c r="N104" s="82" t="n"/>
      <c r="O104" s="82" t="n"/>
      <c r="P104" s="82" t="n"/>
      <c r="Q104" s="82" t="n"/>
      <c r="R104" s="82" t="n"/>
      <c r="S104" s="82" t="n"/>
      <c r="T104" s="82" t="n"/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</row>
    <row r="105">
      <c r="B105" s="84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</row>
    <row r="106">
      <c r="B106" s="84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82" t="n"/>
      <c r="M106" s="82" t="n"/>
      <c r="N106" s="82" t="n"/>
      <c r="O106" s="82" t="n"/>
      <c r="P106" s="82" t="n"/>
      <c r="Q106" s="82" t="n"/>
      <c r="R106" s="82" t="n"/>
      <c r="S106" s="82" t="n"/>
      <c r="T106" s="82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</row>
    <row r="107">
      <c r="B107" s="84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82" t="n"/>
      <c r="M107" s="82" t="n"/>
      <c r="N107" s="82" t="n"/>
      <c r="O107" s="82" t="n"/>
      <c r="P107" s="82" t="n"/>
      <c r="Q107" s="82" t="n"/>
      <c r="R107" s="82" t="n"/>
      <c r="S107" s="82" t="n"/>
      <c r="T107" s="82" t="n"/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</row>
    <row r="108">
      <c r="B108" s="84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</row>
    <row r="109">
      <c r="B109" s="84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82" t="n"/>
      <c r="M109" s="82" t="n"/>
      <c r="N109" s="82" t="n"/>
      <c r="O109" s="82" t="n"/>
      <c r="P109" s="82" t="n"/>
      <c r="Q109" s="82" t="n"/>
      <c r="R109" s="82" t="n"/>
      <c r="S109" s="82" t="n"/>
      <c r="T109" s="82" t="n"/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</row>
    <row r="110">
      <c r="B110" s="84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82" t="n"/>
      <c r="M110" s="82" t="n"/>
      <c r="N110" s="82" t="n"/>
      <c r="O110" s="82" t="n"/>
      <c r="P110" s="82" t="n"/>
      <c r="Q110" s="82" t="n"/>
      <c r="R110" s="82" t="n"/>
      <c r="S110" s="82" t="n"/>
      <c r="T110" s="82" t="n"/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</row>
    <row r="111">
      <c r="B111" s="84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82" t="n"/>
      <c r="M111" s="82" t="n"/>
      <c r="N111" s="82" t="n"/>
      <c r="O111" s="82" t="n"/>
      <c r="P111" s="82" t="n"/>
      <c r="Q111" s="82" t="n"/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</row>
    <row r="112">
      <c r="B112" s="84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82" t="n"/>
      <c r="M112" s="82" t="n"/>
      <c r="N112" s="82" t="n"/>
      <c r="O112" s="82" t="n"/>
      <c r="P112" s="82" t="n"/>
      <c r="Q112" s="82" t="n"/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</row>
    <row r="113">
      <c r="B113" s="84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82" t="n"/>
      <c r="M113" s="82" t="n"/>
      <c r="N113" s="82" t="n"/>
      <c r="O113" s="82" t="n"/>
      <c r="P113" s="82" t="n"/>
      <c r="Q113" s="82" t="n"/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</row>
    <row r="114">
      <c r="B114" s="84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82" t="n"/>
      <c r="M114" s="82" t="n"/>
      <c r="N114" s="82" t="n"/>
      <c r="O114" s="82" t="n"/>
      <c r="P114" s="82" t="n"/>
      <c r="Q114" s="82" t="n"/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</row>
    <row r="115">
      <c r="B115" s="84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82" t="n"/>
      <c r="M115" s="82" t="n"/>
      <c r="N115" s="82" t="n"/>
      <c r="O115" s="82" t="n"/>
      <c r="P115" s="82" t="n"/>
      <c r="Q115" s="82" t="n"/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</row>
    <row r="116">
      <c r="B116" s="84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82" t="n"/>
      <c r="M116" s="82" t="n"/>
      <c r="N116" s="82" t="n"/>
      <c r="O116" s="82" t="n"/>
      <c r="P116" s="82" t="n"/>
      <c r="Q116" s="82" t="n"/>
      <c r="R116" s="82" t="n"/>
      <c r="S116" s="82" t="n"/>
      <c r="T116" s="82" t="n"/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</row>
    <row r="117">
      <c r="B117" s="84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82" t="n"/>
      <c r="M117" s="82" t="n"/>
      <c r="N117" s="82" t="n"/>
      <c r="O117" s="82" t="n"/>
      <c r="P117" s="82" t="n"/>
      <c r="Q117" s="82" t="n"/>
      <c r="R117" s="82" t="n"/>
      <c r="S117" s="82" t="n"/>
      <c r="T117" s="82" t="n"/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</row>
    <row r="118">
      <c r="B118" s="84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</row>
    <row r="119">
      <c r="B119" s="84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82" t="n"/>
      <c r="M119" s="82" t="n"/>
      <c r="N119" s="82" t="n"/>
      <c r="O119" s="82" t="n"/>
      <c r="P119" s="82" t="n"/>
      <c r="Q119" s="82" t="n"/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</row>
    <row r="120">
      <c r="B120" s="84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</row>
    <row r="121">
      <c r="B121" s="84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82" t="n"/>
      <c r="M121" s="82" t="n"/>
      <c r="N121" s="82" t="n"/>
      <c r="O121" s="82" t="n"/>
      <c r="P121" s="82" t="n"/>
      <c r="Q121" s="82" t="n"/>
      <c r="R121" s="82" t="n"/>
      <c r="S121" s="82" t="n"/>
      <c r="T121" s="82" t="n"/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</row>
    <row r="122">
      <c r="B122" s="84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82" t="n"/>
      <c r="M122" s="82" t="n"/>
      <c r="N122" s="82" t="n"/>
      <c r="O122" s="82" t="n"/>
      <c r="P122" s="82" t="n"/>
      <c r="Q122" s="82" t="n"/>
      <c r="R122" s="82" t="n"/>
      <c r="S122" s="82" t="n"/>
      <c r="T122" s="82" t="n"/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</row>
    <row r="123">
      <c r="B123" s="84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82" t="n"/>
      <c r="M123" s="82" t="n"/>
      <c r="N123" s="82" t="n"/>
      <c r="O123" s="82" t="n"/>
      <c r="P123" s="82" t="n"/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</row>
    <row r="124">
      <c r="B124" s="84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82" t="n"/>
      <c r="M124" s="82" t="n"/>
      <c r="N124" s="82" t="n"/>
      <c r="O124" s="82" t="n"/>
      <c r="P124" s="82" t="n"/>
      <c r="Q124" s="82" t="n"/>
      <c r="R124" s="82" t="n"/>
      <c r="S124" s="82" t="n"/>
      <c r="T124" s="82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</row>
    <row r="125">
      <c r="B125" s="84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</row>
    <row r="126">
      <c r="B126" s="84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82" t="n"/>
      <c r="M126" s="82" t="n"/>
      <c r="N126" s="82" t="n"/>
      <c r="O126" s="82" t="n"/>
      <c r="P126" s="82" t="n"/>
      <c r="Q126" s="82" t="n"/>
      <c r="R126" s="82" t="n"/>
      <c r="S126" s="82" t="n"/>
      <c r="T126" s="82" t="n"/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</row>
    <row r="127">
      <c r="B127" s="84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82" t="n"/>
      <c r="M127" s="82" t="n"/>
      <c r="N127" s="82" t="n"/>
      <c r="O127" s="82" t="n"/>
      <c r="P127" s="82" t="n"/>
      <c r="Q127" s="82" t="n"/>
      <c r="R127" s="82" t="n"/>
      <c r="S127" s="82" t="n"/>
      <c r="T127" s="82" t="n"/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</row>
    <row r="128">
      <c r="B128" s="84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</row>
    <row r="129">
      <c r="B129" s="84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82" t="n"/>
      <c r="M129" s="82" t="n"/>
      <c r="N129" s="82" t="n"/>
      <c r="O129" s="82" t="n"/>
      <c r="P129" s="82" t="n"/>
      <c r="Q129" s="82" t="n"/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</row>
    <row r="130">
      <c r="B130" s="84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82" t="n"/>
      <c r="M130" s="82" t="n"/>
      <c r="N130" s="82" t="n"/>
      <c r="O130" s="82" t="n"/>
      <c r="P130" s="82" t="n"/>
      <c r="Q130" s="82" t="n"/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</row>
    <row r="131">
      <c r="B131" s="84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82" t="n"/>
      <c r="M131" s="82" t="n"/>
      <c r="N131" s="82" t="n"/>
      <c r="O131" s="82" t="n"/>
      <c r="P131" s="82" t="n"/>
      <c r="Q131" s="82" t="n"/>
      <c r="R131" s="82" t="n"/>
      <c r="S131" s="82" t="n"/>
      <c r="T131" s="82" t="n"/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</row>
    <row r="132">
      <c r="B132" s="84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</row>
    <row r="133">
      <c r="B133" s="84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82" t="n"/>
      <c r="M133" s="82" t="n"/>
      <c r="N133" s="82" t="n"/>
      <c r="O133" s="82" t="n"/>
      <c r="P133" s="82" t="n"/>
      <c r="Q133" s="82" t="n"/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</row>
    <row r="134">
      <c r="B134" s="84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82" t="n"/>
      <c r="M134" s="82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</row>
    <row r="135">
      <c r="B135" s="84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82" t="n"/>
      <c r="M135" s="82" t="n"/>
      <c r="N135" s="82" t="n"/>
      <c r="O135" s="82" t="n"/>
      <c r="P135" s="82" t="n"/>
      <c r="Q135" s="82" t="n"/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</row>
    <row r="136">
      <c r="B136" s="84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82" t="n"/>
      <c r="M136" s="82" t="n"/>
      <c r="N136" s="82" t="n"/>
      <c r="O136" s="82" t="n"/>
      <c r="P136" s="82" t="n"/>
      <c r="Q136" s="82" t="n"/>
      <c r="R136" s="82" t="n"/>
      <c r="S136" s="82" t="n"/>
      <c r="T136" s="82" t="n"/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</row>
    <row r="137">
      <c r="B137" s="84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</row>
    <row r="138">
      <c r="B138" s="84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</row>
    <row r="139">
      <c r="B139" s="84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82" t="n"/>
      <c r="M139" s="82" t="n"/>
      <c r="N139" s="82" t="n"/>
      <c r="O139" s="82" t="n"/>
      <c r="P139" s="82" t="n"/>
      <c r="Q139" s="82" t="n"/>
      <c r="R139" s="82" t="n"/>
      <c r="S139" s="82" t="n"/>
      <c r="T139" s="82" t="n"/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</row>
    <row r="140">
      <c r="B140" s="84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</row>
    <row r="141">
      <c r="B141" s="84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82" t="n"/>
      <c r="M141" s="82" t="n"/>
      <c r="N141" s="82" t="n"/>
      <c r="O141" s="82" t="n"/>
      <c r="P141" s="82" t="n"/>
      <c r="Q141" s="82" t="n"/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</row>
    <row r="142">
      <c r="B142" s="84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</row>
    <row r="143">
      <c r="B143" s="84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</row>
    <row r="144">
      <c r="B144" s="84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82" t="n"/>
      <c r="M144" s="82" t="n"/>
      <c r="N144" s="82" t="n"/>
      <c r="O144" s="82" t="n"/>
      <c r="P144" s="82" t="n"/>
      <c r="Q144" s="82" t="n"/>
      <c r="R144" s="82" t="n"/>
      <c r="S144" s="82" t="n"/>
      <c r="T144" s="82" t="n"/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</row>
    <row r="145">
      <c r="B145" s="84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</row>
    <row r="146">
      <c r="B146" s="84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</row>
    <row r="147">
      <c r="B147" s="84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82" t="n"/>
      <c r="M147" s="82" t="n"/>
      <c r="N147" s="82" t="n"/>
      <c r="O147" s="82" t="n"/>
      <c r="P147" s="82" t="n"/>
      <c r="Q147" s="82" t="n"/>
      <c r="R147" s="82" t="n"/>
      <c r="S147" s="82" t="n"/>
      <c r="T147" s="82" t="n"/>
      <c r="U147" s="82" t="n"/>
      <c r="V147" s="82" t="n"/>
      <c r="W147" s="82" t="n"/>
      <c r="X147" s="82" t="n"/>
      <c r="Y147" s="82" t="n"/>
      <c r="Z147" s="82" t="n"/>
      <c r="AA147" s="82" t="n"/>
      <c r="AB147" s="82" t="n"/>
      <c r="AC147" s="82" t="n"/>
      <c r="AD147" s="82" t="n"/>
      <c r="AE147" s="82" t="n"/>
      <c r="AF147" s="82" t="n"/>
      <c r="AG147" s="82" t="n"/>
      <c r="AH147" s="82" t="n"/>
      <c r="AI147" s="82" t="n"/>
      <c r="AJ147" s="82" t="n"/>
      <c r="AK147" s="82" t="n"/>
    </row>
    <row r="148">
      <c r="B148" s="84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</row>
    <row r="149">
      <c r="B149" s="84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</row>
    <row r="150">
      <c r="B150" s="84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</row>
    <row r="151">
      <c r="B151" s="84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</row>
    <row r="152">
      <c r="B152" s="84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</row>
    <row r="153">
      <c r="B153" s="84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</row>
    <row r="154">
      <c r="B154" s="84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</row>
    <row r="155">
      <c r="B155" s="84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</row>
    <row r="156">
      <c r="B156" s="84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</row>
    <row r="157">
      <c r="B157" s="84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</row>
    <row r="158">
      <c r="B158" s="84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</row>
    <row r="159">
      <c r="B159" s="84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</row>
    <row r="160">
      <c r="B160" s="84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</row>
    <row r="161">
      <c r="B161" s="84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</row>
    <row r="162">
      <c r="B162" s="84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</row>
    <row r="163">
      <c r="B163" s="84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</row>
    <row r="164">
      <c r="B164" s="84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</row>
    <row r="165">
      <c r="B165" s="84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</row>
    <row r="166">
      <c r="B166" s="84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</row>
    <row r="167">
      <c r="B167" s="84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</row>
    <row r="168">
      <c r="B168" s="84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</row>
    <row r="169">
      <c r="B169" s="84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</row>
    <row r="170">
      <c r="B170" s="84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</row>
    <row r="171">
      <c r="B171" s="84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</row>
    <row r="172">
      <c r="B172" s="84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</row>
    <row r="173">
      <c r="B173" s="84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</row>
    <row r="174">
      <c r="B174" s="84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</row>
    <row r="175">
      <c r="B175" s="84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</row>
    <row r="176">
      <c r="B176" s="84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</row>
    <row r="177">
      <c r="B177" s="84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</row>
    <row r="178">
      <c r="B178" s="84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</row>
    <row r="179">
      <c r="B179" s="84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</row>
    <row r="180">
      <c r="B180" s="84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</row>
    <row r="181">
      <c r="B181" s="84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</row>
    <row r="182">
      <c r="B182" s="84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</row>
    <row r="183">
      <c r="B183" s="84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</row>
    <row r="184">
      <c r="B184" s="84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</row>
    <row r="185">
      <c r="B185" s="84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</row>
    <row r="186">
      <c r="B186" s="84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</row>
    <row r="187">
      <c r="B187" s="84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</row>
    <row r="188">
      <c r="B188" s="84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</row>
    <row r="189">
      <c r="B189" s="84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</row>
    <row r="190">
      <c r="B190" s="84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</row>
    <row r="191">
      <c r="B191" s="84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</row>
    <row r="192">
      <c r="B192" s="84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</row>
    <row r="193">
      <c r="B193" s="84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</row>
    <row r="194">
      <c r="B194" s="84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</row>
    <row r="195">
      <c r="B195" s="84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</row>
    <row r="196">
      <c r="B196" s="84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</row>
    <row r="197">
      <c r="B197" s="84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</row>
    <row r="198">
      <c r="B198" s="84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</row>
    <row r="199">
      <c r="B199" s="84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</row>
    <row r="200">
      <c r="B200" s="84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</row>
    <row r="201">
      <c r="B201" s="84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</row>
    <row r="202">
      <c r="B202" s="84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</row>
    <row r="203">
      <c r="B203" s="84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</row>
    <row r="204">
      <c r="B204" s="84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</row>
    <row r="205">
      <c r="B205" s="84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</row>
    <row r="206">
      <c r="B206" s="84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</row>
    <row r="207">
      <c r="B207" s="84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</row>
    <row r="208">
      <c r="B208" s="84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</row>
    <row r="209">
      <c r="B209" s="84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</row>
    <row r="210">
      <c r="B210" s="84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</row>
    <row r="211">
      <c r="B211" s="84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</row>
    <row r="212">
      <c r="B212" s="84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</row>
    <row r="213">
      <c r="B213" s="84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</row>
    <row r="214">
      <c r="B214" s="84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</row>
    <row r="215">
      <c r="B215" s="84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</row>
    <row r="216">
      <c r="B216" s="84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</row>
    <row r="217">
      <c r="B217" s="84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</row>
    <row r="218">
      <c r="B218" s="84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</row>
    <row r="219">
      <c r="B219" s="84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</row>
    <row r="220">
      <c r="B220" s="84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</row>
    <row r="221">
      <c r="B221" s="84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</row>
    <row r="222">
      <c r="B222" s="84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</row>
    <row r="223">
      <c r="B223" s="84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</row>
    <row r="224">
      <c r="B224" s="84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</row>
    <row r="225">
      <c r="B225" s="84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</row>
    <row r="226">
      <c r="B226" s="84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</row>
    <row r="227">
      <c r="B227" s="84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</row>
    <row r="228">
      <c r="B228" s="84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</row>
    <row r="229">
      <c r="B229" s="84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</row>
    <row r="230">
      <c r="B230" s="84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</row>
    <row r="231">
      <c r="B231" s="84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</row>
    <row r="232">
      <c r="B232" s="84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</row>
    <row r="233">
      <c r="B233" s="84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</row>
    <row r="234">
      <c r="B234" s="84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</row>
    <row r="235">
      <c r="B235" s="84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</row>
    <row r="236">
      <c r="B236" s="84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</row>
    <row r="237">
      <c r="B237" s="84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</row>
    <row r="238">
      <c r="B238" s="84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</row>
    <row r="239">
      <c r="B239" s="84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</row>
    <row r="240">
      <c r="B240" s="84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</row>
    <row r="241">
      <c r="B241" s="84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</row>
    <row r="242">
      <c r="B242" s="84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</row>
    <row r="243">
      <c r="B243" s="84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</row>
    <row r="244">
      <c r="B244" s="84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</row>
    <row r="245">
      <c r="B245" s="84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</row>
    <row r="246">
      <c r="B246" s="84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</row>
    <row r="247">
      <c r="B247" s="84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</row>
    <row r="248">
      <c r="B248" s="84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</row>
    <row r="249">
      <c r="B249" s="84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</row>
    <row r="250">
      <c r="B250" s="84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</row>
    <row r="251">
      <c r="B251" s="84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</row>
    <row r="252">
      <c r="B252" s="84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</row>
    <row r="253">
      <c r="B253" s="84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</row>
    <row r="254">
      <c r="B254" s="84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</row>
    <row r="255">
      <c r="B255" s="84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</row>
    <row r="256">
      <c r="B256" s="84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</row>
    <row r="257">
      <c r="B257" s="84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</row>
    <row r="258">
      <c r="B258" s="84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</row>
    <row r="259">
      <c r="B259" s="84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</row>
    <row r="260">
      <c r="B260" s="84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</row>
    <row r="261">
      <c r="B261" s="84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</row>
    <row r="262">
      <c r="B262" s="84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</row>
    <row r="263">
      <c r="B263" s="84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</row>
    <row r="264">
      <c r="B264" s="84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</row>
    <row r="265">
      <c r="B265" s="84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</row>
    <row r="266">
      <c r="B266" s="84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</row>
    <row r="267">
      <c r="B267" s="84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</row>
    <row r="268">
      <c r="B268" s="84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</row>
    <row r="269">
      <c r="B269" s="84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</row>
    <row r="270">
      <c r="B270" s="84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</row>
    <row r="271">
      <c r="B271" s="84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</row>
    <row r="272">
      <c r="B272" s="84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</row>
    <row r="273">
      <c r="B273" s="84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</row>
    <row r="274">
      <c r="B274" s="84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</row>
    <row r="275">
      <c r="B275" s="84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</row>
    <row r="276">
      <c r="B276" s="84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</row>
    <row r="277">
      <c r="B277" s="84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</row>
    <row r="278">
      <c r="B278" s="84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</row>
    <row r="279">
      <c r="B279" s="84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</row>
    <row r="280">
      <c r="B280" s="84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</row>
    <row r="281">
      <c r="B281" s="84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</row>
    <row r="282">
      <c r="B282" s="84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</row>
    <row r="283">
      <c r="B283" s="84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</row>
    <row r="284">
      <c r="B284" s="84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</row>
    <row r="285">
      <c r="B285" s="84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</row>
    <row r="286">
      <c r="B286" s="84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</row>
    <row r="287">
      <c r="B287" s="84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</row>
    <row r="288">
      <c r="B288" s="84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</row>
    <row r="289">
      <c r="B289" s="84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</row>
    <row r="290">
      <c r="B290" s="84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</row>
    <row r="291">
      <c r="B291" s="84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</row>
    <row r="292">
      <c r="B292" s="84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</row>
    <row r="293">
      <c r="B293" s="84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</row>
    <row r="294">
      <c r="B294" s="84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</row>
    <row r="295">
      <c r="B295" s="84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</row>
    <row r="296">
      <c r="B296" s="84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</row>
    <row r="297">
      <c r="B297" s="84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</row>
    <row r="298">
      <c r="B298" s="84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</row>
    <row r="299">
      <c r="B299" s="84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</row>
    <row r="300">
      <c r="B300" s="84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</row>
    <row r="301">
      <c r="B301" s="84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</row>
    <row r="302">
      <c r="B302" s="84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</row>
    <row r="303">
      <c r="B303" s="84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</row>
    <row r="304">
      <c r="B304" s="84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</row>
    <row r="305">
      <c r="B305" s="84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</row>
    <row r="306">
      <c r="B306" s="84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</row>
    <row r="307">
      <c r="B307" s="84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</row>
    <row r="308">
      <c r="B308" s="84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</row>
    <row r="309">
      <c r="B309" s="84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</row>
    <row r="310">
      <c r="B310" s="84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</row>
    <row r="311">
      <c r="B311" s="84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</row>
    <row r="312">
      <c r="B312" s="84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</row>
    <row r="313">
      <c r="B313" s="84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</row>
    <row r="314">
      <c r="B314" s="84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</row>
    <row r="315">
      <c r="B315" s="84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</row>
    <row r="316">
      <c r="B316" s="84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</row>
    <row r="317">
      <c r="B317" s="84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</row>
    <row r="318">
      <c r="B318" s="84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</row>
    <row r="319">
      <c r="B319" s="84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</row>
    <row r="320">
      <c r="B320" s="84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</row>
    <row r="321">
      <c r="B321" s="84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</row>
    <row r="322">
      <c r="B322" s="84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</row>
    <row r="323">
      <c r="B323" s="84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</row>
    <row r="324">
      <c r="B324" s="84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</row>
    <row r="325">
      <c r="B325" s="84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</row>
    <row r="326">
      <c r="B326" s="84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</row>
    <row r="327">
      <c r="B327" s="84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</row>
    <row r="328">
      <c r="B328" s="84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</row>
    <row r="329">
      <c r="B329" s="84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</row>
    <row r="330">
      <c r="B330" s="84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</row>
    <row r="331">
      <c r="B331" s="84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</row>
    <row r="332">
      <c r="B332" s="84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</row>
    <row r="333">
      <c r="B333" s="84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</row>
    <row r="334">
      <c r="B334" s="84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</row>
    <row r="335">
      <c r="B335" s="84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</row>
    <row r="336">
      <c r="B336" s="84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</row>
    <row r="337">
      <c r="B337" s="84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</row>
    <row r="338">
      <c r="B338" s="84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</row>
    <row r="339">
      <c r="B339" s="84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</row>
    <row r="340">
      <c r="B340" s="84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</row>
    <row r="341">
      <c r="B341" s="84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</row>
    <row r="342">
      <c r="B342" s="84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</row>
    <row r="343">
      <c r="B343" s="84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</row>
    <row r="344">
      <c r="B344" s="84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</row>
    <row r="345">
      <c r="B345" s="84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</row>
    <row r="346">
      <c r="B346" s="84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</row>
    <row r="347">
      <c r="B347" s="84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</row>
    <row r="348">
      <c r="B348" s="84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</row>
    <row r="349">
      <c r="B349" s="84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</row>
    <row r="350">
      <c r="B350" s="84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</row>
    <row r="351">
      <c r="B351" s="84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</row>
    <row r="352">
      <c r="B352" s="84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</row>
    <row r="353">
      <c r="B353" s="84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</row>
    <row r="354">
      <c r="B354" s="84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</row>
    <row r="355">
      <c r="B355" s="84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</row>
    <row r="356">
      <c r="B356" s="84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</row>
    <row r="357">
      <c r="B357" s="84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</row>
    <row r="358">
      <c r="B358" s="84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</row>
    <row r="359">
      <c r="B359" s="84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</row>
    <row r="360">
      <c r="B360" s="84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</row>
    <row r="361">
      <c r="B361" s="84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</row>
    <row r="362">
      <c r="B362" s="84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</row>
    <row r="363">
      <c r="B363" s="84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</row>
    <row r="364">
      <c r="B364" s="84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</row>
    <row r="365">
      <c r="B365" s="84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</row>
    <row r="366">
      <c r="B366" s="84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</row>
    <row r="367">
      <c r="B367" s="84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</row>
    <row r="368">
      <c r="B368" s="84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</row>
    <row r="369">
      <c r="B369" s="84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</row>
    <row r="370">
      <c r="B370" s="84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</row>
    <row r="371">
      <c r="B371" s="84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</row>
    <row r="372">
      <c r="B372" s="84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</row>
    <row r="373">
      <c r="B373" s="84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</row>
    <row r="374">
      <c r="B374" s="84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</row>
    <row r="375">
      <c r="B375" s="84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</row>
    <row r="376">
      <c r="B376" s="84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</row>
    <row r="377">
      <c r="B377" s="84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</row>
    <row r="378">
      <c r="B378" s="84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</row>
    <row r="379">
      <c r="B379" s="84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</row>
    <row r="380">
      <c r="B380" s="84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</row>
    <row r="381">
      <c r="B381" s="84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</row>
    <row r="382">
      <c r="B382" s="84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</row>
    <row r="383">
      <c r="B383" s="84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</row>
    <row r="384">
      <c r="B384" s="84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</row>
    <row r="385">
      <c r="B385" s="84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</row>
    <row r="386">
      <c r="B386" s="84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</row>
    <row r="387">
      <c r="B387" s="84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</row>
    <row r="388">
      <c r="B388" s="84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</row>
    <row r="389">
      <c r="B389" s="84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</row>
    <row r="390">
      <c r="B390" s="84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</row>
    <row r="391">
      <c r="B391" s="84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</row>
    <row r="392">
      <c r="B392" s="84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</row>
    <row r="393">
      <c r="B393" s="84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</row>
    <row r="394">
      <c r="B394" s="84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</row>
    <row r="395">
      <c r="B395" s="84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</row>
    <row r="396">
      <c r="B396" s="84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</row>
    <row r="397">
      <c r="B397" s="84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</row>
    <row r="398">
      <c r="B398" s="84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</row>
    <row r="399">
      <c r="B399" s="84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</row>
    <row r="400">
      <c r="B400" s="84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</row>
    <row r="401">
      <c r="B401" s="84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</row>
    <row r="402">
      <c r="B402" s="84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</row>
    <row r="403">
      <c r="B403" s="84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</row>
    <row r="404">
      <c r="B404" s="84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</row>
    <row r="405">
      <c r="B405" s="84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</row>
    <row r="406">
      <c r="B406" s="84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</row>
    <row r="407">
      <c r="B407" s="84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</row>
    <row r="408">
      <c r="B408" s="84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</row>
    <row r="409">
      <c r="B409" s="84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</row>
    <row r="410">
      <c r="B410" s="84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</row>
    <row r="411">
      <c r="B411" s="84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</row>
    <row r="412">
      <c r="B412" s="84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</row>
    <row r="413">
      <c r="B413" s="84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</row>
    <row r="414">
      <c r="B414" s="84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</row>
    <row r="415">
      <c r="B415" s="84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</row>
    <row r="416">
      <c r="B416" s="84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</row>
    <row r="417">
      <c r="B417" s="84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</row>
    <row r="418">
      <c r="B418" s="84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</row>
    <row r="419">
      <c r="B419" s="84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</row>
    <row r="420">
      <c r="B420" s="84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</row>
    <row r="421">
      <c r="B421" s="84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</row>
    <row r="422">
      <c r="B422" s="84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</row>
    <row r="423">
      <c r="B423" s="84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</row>
    <row r="424">
      <c r="B424" s="84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</row>
    <row r="425">
      <c r="B425" s="84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</row>
    <row r="426">
      <c r="B426" s="84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</row>
    <row r="427">
      <c r="B427" s="84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</row>
    <row r="428">
      <c r="B428" s="84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</row>
    <row r="429">
      <c r="B429" s="84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</row>
    <row r="430">
      <c r="B430" s="84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</row>
    <row r="431">
      <c r="B431" s="84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</row>
    <row r="432">
      <c r="B432" s="84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</row>
    <row r="433">
      <c r="B433" s="84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</row>
    <row r="434">
      <c r="B434" s="84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</row>
    <row r="435">
      <c r="B435" s="84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</row>
    <row r="436">
      <c r="B436" s="84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</row>
    <row r="437">
      <c r="B437" s="84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</row>
    <row r="438">
      <c r="B438" s="84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</row>
    <row r="439">
      <c r="B439" s="84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</row>
    <row r="440">
      <c r="B440" s="84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</row>
    <row r="441">
      <c r="B441" s="84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</row>
    <row r="442">
      <c r="B442" s="84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</row>
    <row r="443">
      <c r="B443" s="84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</row>
    <row r="444">
      <c r="B444" s="84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</row>
    <row r="445">
      <c r="B445" s="84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</row>
    <row r="446">
      <c r="B446" s="84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</row>
    <row r="447">
      <c r="B447" s="84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</row>
    <row r="448">
      <c r="B448" s="84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</row>
    <row r="449">
      <c r="B449" s="84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</row>
    <row r="450">
      <c r="B450" s="84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</row>
    <row r="451">
      <c r="B451" s="84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</row>
    <row r="452">
      <c r="B452" s="84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</row>
    <row r="453">
      <c r="B453" s="84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</row>
    <row r="454">
      <c r="B454" s="84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</row>
    <row r="455">
      <c r="B455" s="84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</row>
    <row r="456">
      <c r="B456" s="84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</row>
    <row r="457">
      <c r="B457" s="84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</row>
    <row r="458">
      <c r="B458" s="84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</row>
    <row r="459">
      <c r="B459" s="84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</row>
    <row r="460">
      <c r="B460" s="84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</row>
    <row r="461">
      <c r="B461" s="84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</row>
    <row r="462">
      <c r="B462" s="84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</row>
    <row r="463">
      <c r="B463" s="84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</row>
    <row r="464">
      <c r="B464" s="84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</row>
    <row r="465">
      <c r="B465" s="84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</row>
    <row r="466">
      <c r="B466" s="84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</row>
    <row r="467">
      <c r="B467" s="84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</row>
    <row r="468">
      <c r="B468" s="84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</row>
    <row r="469">
      <c r="B469" s="84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</row>
    <row r="470">
      <c r="B470" s="84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</row>
    <row r="471">
      <c r="B471" s="84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</row>
    <row r="472">
      <c r="B472" s="84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</row>
    <row r="473">
      <c r="B473" s="84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</row>
    <row r="474">
      <c r="B474" s="84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</row>
    <row r="475">
      <c r="B475" s="84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</row>
    <row r="476">
      <c r="B476" s="84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</row>
    <row r="477">
      <c r="B477" s="84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</row>
    <row r="478">
      <c r="B478" s="84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</row>
    <row r="479">
      <c r="B479" s="84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</row>
    <row r="480">
      <c r="B480" s="84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</row>
    <row r="481">
      <c r="B481" s="84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</row>
    <row r="482">
      <c r="B482" s="84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</row>
    <row r="483">
      <c r="B483" s="84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82" t="n"/>
      <c r="M483" s="82" t="n"/>
      <c r="N483" s="82" t="n"/>
      <c r="O483" s="82" t="n"/>
      <c r="P483" s="82" t="n"/>
      <c r="Q483" s="82" t="n"/>
      <c r="R483" s="82" t="n"/>
      <c r="S483" s="82" t="n"/>
      <c r="T483" s="82" t="n"/>
      <c r="U483" s="82" t="n"/>
      <c r="V483" s="82" t="n"/>
      <c r="W483" s="82" t="n"/>
      <c r="X483" s="82" t="n"/>
      <c r="Y483" s="82" t="n"/>
      <c r="Z483" s="82" t="n"/>
      <c r="AA483" s="82" t="n"/>
      <c r="AB483" s="82" t="n"/>
      <c r="AC483" s="82" t="n"/>
      <c r="AD483" s="82" t="n"/>
      <c r="AE483" s="82" t="n"/>
      <c r="AF483" s="82" t="n"/>
      <c r="AG483" s="82" t="n"/>
      <c r="AH483" s="82" t="n"/>
      <c r="AI483" s="82" t="n"/>
      <c r="AJ483" s="82" t="n"/>
      <c r="AK483" s="82" t="n"/>
    </row>
    <row r="484">
      <c r="B484" s="84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82" t="n"/>
      <c r="M484" s="82" t="n"/>
      <c r="N484" s="82" t="n"/>
      <c r="O484" s="82" t="n"/>
      <c r="P484" s="82" t="n"/>
      <c r="Q484" s="82" t="n"/>
      <c r="R484" s="82" t="n"/>
      <c r="S484" s="82" t="n"/>
      <c r="T484" s="82" t="n"/>
      <c r="U484" s="82" t="n"/>
      <c r="V484" s="82" t="n"/>
      <c r="W484" s="82" t="n"/>
      <c r="X484" s="82" t="n"/>
      <c r="Y484" s="82" t="n"/>
      <c r="Z484" s="82" t="n"/>
      <c r="AA484" s="82" t="n"/>
      <c r="AB484" s="82" t="n"/>
      <c r="AC484" s="82" t="n"/>
      <c r="AD484" s="82" t="n"/>
      <c r="AE484" s="82" t="n"/>
      <c r="AF484" s="82" t="n"/>
      <c r="AG484" s="82" t="n"/>
      <c r="AH484" s="82" t="n"/>
      <c r="AI484" s="82" t="n"/>
      <c r="AJ484" s="82" t="n"/>
      <c r="AK484" s="82" t="n"/>
    </row>
    <row r="485">
      <c r="B485" s="84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82" t="n"/>
      <c r="M485" s="82" t="n"/>
      <c r="N485" s="82" t="n"/>
      <c r="O485" s="82" t="n"/>
      <c r="P485" s="82" t="n"/>
      <c r="Q485" s="82" t="n"/>
      <c r="R485" s="82" t="n"/>
      <c r="S485" s="82" t="n"/>
      <c r="T485" s="82" t="n"/>
      <c r="U485" s="82" t="n"/>
      <c r="V485" s="82" t="n"/>
      <c r="W485" s="82" t="n"/>
      <c r="X485" s="82" t="n"/>
      <c r="Y485" s="82" t="n"/>
      <c r="Z485" s="82" t="n"/>
      <c r="AA485" s="82" t="n"/>
      <c r="AB485" s="82" t="n"/>
      <c r="AC485" s="82" t="n"/>
      <c r="AD485" s="82" t="n"/>
      <c r="AE485" s="82" t="n"/>
      <c r="AF485" s="82" t="n"/>
      <c r="AG485" s="82" t="n"/>
      <c r="AH485" s="82" t="n"/>
      <c r="AI485" s="82" t="n"/>
      <c r="AJ485" s="82" t="n"/>
      <c r="AK485" s="82" t="n"/>
    </row>
    <row r="486">
      <c r="B486" s="84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82" t="n"/>
      <c r="M486" s="82" t="n"/>
      <c r="N486" s="82" t="n"/>
      <c r="O486" s="82" t="n"/>
      <c r="P486" s="82" t="n"/>
      <c r="Q486" s="82" t="n"/>
      <c r="R486" s="82" t="n"/>
      <c r="S486" s="82" t="n"/>
      <c r="T486" s="82" t="n"/>
      <c r="U486" s="82" t="n"/>
      <c r="V486" s="82" t="n"/>
      <c r="W486" s="82" t="n"/>
      <c r="X486" s="82" t="n"/>
      <c r="Y486" s="82" t="n"/>
      <c r="Z486" s="82" t="n"/>
      <c r="AA486" s="82" t="n"/>
      <c r="AB486" s="82" t="n"/>
      <c r="AC486" s="82" t="n"/>
      <c r="AD486" s="82" t="n"/>
      <c r="AE486" s="82" t="n"/>
      <c r="AF486" s="82" t="n"/>
      <c r="AG486" s="82" t="n"/>
      <c r="AH486" s="82" t="n"/>
      <c r="AI486" s="82" t="n"/>
      <c r="AJ486" s="82" t="n"/>
      <c r="AK486" s="82" t="n"/>
    </row>
    <row r="487">
      <c r="B487" s="84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82" t="n"/>
      <c r="M487" s="82" t="n"/>
      <c r="N487" s="82" t="n"/>
      <c r="O487" s="82" t="n"/>
      <c r="P487" s="82" t="n"/>
      <c r="Q487" s="82" t="n"/>
      <c r="R487" s="82" t="n"/>
      <c r="S487" s="82" t="n"/>
      <c r="T487" s="82" t="n"/>
      <c r="U487" s="82" t="n"/>
      <c r="V487" s="82" t="n"/>
      <c r="W487" s="82" t="n"/>
      <c r="X487" s="82" t="n"/>
      <c r="Y487" s="82" t="n"/>
      <c r="Z487" s="82" t="n"/>
      <c r="AA487" s="82" t="n"/>
      <c r="AB487" s="82" t="n"/>
      <c r="AC487" s="82" t="n"/>
      <c r="AD487" s="82" t="n"/>
      <c r="AE487" s="82" t="n"/>
      <c r="AF487" s="82" t="n"/>
      <c r="AG487" s="82" t="n"/>
      <c r="AH487" s="82" t="n"/>
      <c r="AI487" s="82" t="n"/>
      <c r="AJ487" s="82" t="n"/>
      <c r="AK487" s="82" t="n"/>
    </row>
    <row r="488">
      <c r="B488" s="84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82" t="n"/>
      <c r="M488" s="82" t="n"/>
      <c r="N488" s="82" t="n"/>
      <c r="O488" s="82" t="n"/>
      <c r="P488" s="82" t="n"/>
      <c r="Q488" s="82" t="n"/>
      <c r="R488" s="82" t="n"/>
      <c r="S488" s="82" t="n"/>
      <c r="T488" s="82" t="n"/>
      <c r="U488" s="82" t="n"/>
      <c r="V488" s="82" t="n"/>
      <c r="W488" s="82" t="n"/>
      <c r="X488" s="82" t="n"/>
      <c r="Y488" s="82" t="n"/>
      <c r="Z488" s="82" t="n"/>
      <c r="AA488" s="82" t="n"/>
      <c r="AB488" s="82" t="n"/>
      <c r="AC488" s="82" t="n"/>
      <c r="AD488" s="82" t="n"/>
      <c r="AE488" s="82" t="n"/>
      <c r="AF488" s="82" t="n"/>
      <c r="AG488" s="82" t="n"/>
      <c r="AH488" s="82" t="n"/>
      <c r="AI488" s="82" t="n"/>
      <c r="AJ488" s="82" t="n"/>
      <c r="AK488" s="82" t="n"/>
    </row>
    <row r="489">
      <c r="B489" s="84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82" t="n"/>
      <c r="M489" s="82" t="n"/>
      <c r="N489" s="82" t="n"/>
      <c r="O489" s="82" t="n"/>
      <c r="P489" s="82" t="n"/>
      <c r="Q489" s="82" t="n"/>
      <c r="R489" s="82" t="n"/>
      <c r="S489" s="82" t="n"/>
      <c r="T489" s="82" t="n"/>
      <c r="U489" s="82" t="n"/>
      <c r="V489" s="82" t="n"/>
      <c r="W489" s="82" t="n"/>
      <c r="X489" s="82" t="n"/>
      <c r="Y489" s="82" t="n"/>
      <c r="Z489" s="82" t="n"/>
      <c r="AA489" s="82" t="n"/>
      <c r="AB489" s="82" t="n"/>
      <c r="AC489" s="82" t="n"/>
      <c r="AD489" s="82" t="n"/>
      <c r="AE489" s="82" t="n"/>
      <c r="AF489" s="82" t="n"/>
      <c r="AG489" s="82" t="n"/>
      <c r="AH489" s="82" t="n"/>
      <c r="AI489" s="82" t="n"/>
      <c r="AJ489" s="82" t="n"/>
      <c r="AK489" s="82" t="n"/>
    </row>
    <row r="490">
      <c r="B490" s="84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82" t="n"/>
      <c r="M490" s="82" t="n"/>
      <c r="N490" s="82" t="n"/>
      <c r="O490" s="82" t="n"/>
      <c r="P490" s="82" t="n"/>
      <c r="Q490" s="82" t="n"/>
      <c r="R490" s="82" t="n"/>
      <c r="S490" s="82" t="n"/>
      <c r="T490" s="82" t="n"/>
      <c r="U490" s="82" t="n"/>
      <c r="V490" s="82" t="n"/>
      <c r="W490" s="82" t="n"/>
      <c r="X490" s="82" t="n"/>
      <c r="Y490" s="82" t="n"/>
      <c r="Z490" s="82" t="n"/>
      <c r="AA490" s="82" t="n"/>
      <c r="AB490" s="82" t="n"/>
      <c r="AC490" s="82" t="n"/>
      <c r="AD490" s="82" t="n"/>
      <c r="AE490" s="82" t="n"/>
      <c r="AF490" s="82" t="n"/>
      <c r="AG490" s="82" t="n"/>
      <c r="AH490" s="82" t="n"/>
      <c r="AI490" s="82" t="n"/>
      <c r="AJ490" s="82" t="n"/>
      <c r="AK490" s="82" t="n"/>
    </row>
    <row r="491">
      <c r="B491" s="84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82" t="n"/>
      <c r="M491" s="82" t="n"/>
      <c r="N491" s="82" t="n"/>
      <c r="O491" s="82" t="n"/>
      <c r="P491" s="82" t="n"/>
      <c r="Q491" s="82" t="n"/>
      <c r="R491" s="82" t="n"/>
      <c r="S491" s="82" t="n"/>
      <c r="T491" s="82" t="n"/>
      <c r="U491" s="82" t="n"/>
      <c r="V491" s="82" t="n"/>
      <c r="W491" s="82" t="n"/>
      <c r="X491" s="82" t="n"/>
      <c r="Y491" s="82" t="n"/>
      <c r="Z491" s="82" t="n"/>
      <c r="AA491" s="82" t="n"/>
      <c r="AB491" s="82" t="n"/>
      <c r="AC491" s="82" t="n"/>
      <c r="AD491" s="82" t="n"/>
      <c r="AE491" s="82" t="n"/>
      <c r="AF491" s="82" t="n"/>
      <c r="AG491" s="82" t="n"/>
      <c r="AH491" s="82" t="n"/>
      <c r="AI491" s="82" t="n"/>
      <c r="AJ491" s="82" t="n"/>
      <c r="AK491" s="82" t="n"/>
    </row>
    <row r="492">
      <c r="B492" s="84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82" t="n"/>
      <c r="M492" s="82" t="n"/>
      <c r="N492" s="82" t="n"/>
      <c r="O492" s="82" t="n"/>
      <c r="P492" s="82" t="n"/>
      <c r="Q492" s="82" t="n"/>
      <c r="R492" s="82" t="n"/>
      <c r="S492" s="82" t="n"/>
      <c r="T492" s="82" t="n"/>
      <c r="U492" s="82" t="n"/>
      <c r="V492" s="82" t="n"/>
      <c r="W492" s="82" t="n"/>
      <c r="X492" s="82" t="n"/>
      <c r="Y492" s="82" t="n"/>
      <c r="Z492" s="82" t="n"/>
      <c r="AA492" s="82" t="n"/>
      <c r="AB492" s="82" t="n"/>
      <c r="AC492" s="82" t="n"/>
      <c r="AD492" s="82" t="n"/>
      <c r="AE492" s="82" t="n"/>
      <c r="AF492" s="82" t="n"/>
      <c r="AG492" s="82" t="n"/>
      <c r="AH492" s="82" t="n"/>
      <c r="AI492" s="82" t="n"/>
      <c r="AJ492" s="82" t="n"/>
      <c r="AK492" s="82" t="n"/>
    </row>
    <row r="493">
      <c r="B493" s="84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82" t="n"/>
      <c r="M493" s="82" t="n"/>
      <c r="N493" s="82" t="n"/>
      <c r="O493" s="82" t="n"/>
      <c r="P493" s="82" t="n"/>
      <c r="Q493" s="82" t="n"/>
      <c r="R493" s="82" t="n"/>
      <c r="S493" s="82" t="n"/>
      <c r="T493" s="82" t="n"/>
      <c r="U493" s="82" t="n"/>
      <c r="V493" s="82" t="n"/>
      <c r="W493" s="82" t="n"/>
      <c r="X493" s="82" t="n"/>
      <c r="Y493" s="82" t="n"/>
      <c r="Z493" s="82" t="n"/>
      <c r="AA493" s="82" t="n"/>
      <c r="AB493" s="82" t="n"/>
      <c r="AC493" s="82" t="n"/>
      <c r="AD493" s="82" t="n"/>
      <c r="AE493" s="82" t="n"/>
      <c r="AF493" s="82" t="n"/>
      <c r="AG493" s="82" t="n"/>
      <c r="AH493" s="82" t="n"/>
      <c r="AI493" s="82" t="n"/>
      <c r="AJ493" s="82" t="n"/>
      <c r="AK493" s="82" t="n"/>
    </row>
    <row r="494">
      <c r="B494" s="84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82" t="n"/>
      <c r="M494" s="82" t="n"/>
      <c r="N494" s="82" t="n"/>
      <c r="O494" s="82" t="n"/>
      <c r="P494" s="82" t="n"/>
      <c r="Q494" s="82" t="n"/>
      <c r="R494" s="82" t="n"/>
      <c r="S494" s="82" t="n"/>
      <c r="T494" s="82" t="n"/>
      <c r="U494" s="82" t="n"/>
      <c r="V494" s="82" t="n"/>
      <c r="W494" s="82" t="n"/>
      <c r="X494" s="82" t="n"/>
      <c r="Y494" s="82" t="n"/>
      <c r="Z494" s="82" t="n"/>
      <c r="AA494" s="82" t="n"/>
      <c r="AB494" s="82" t="n"/>
      <c r="AC494" s="82" t="n"/>
      <c r="AD494" s="82" t="n"/>
      <c r="AE494" s="82" t="n"/>
      <c r="AF494" s="82" t="n"/>
      <c r="AG494" s="82" t="n"/>
      <c r="AH494" s="82" t="n"/>
      <c r="AI494" s="82" t="n"/>
      <c r="AJ494" s="82" t="n"/>
      <c r="AK494" s="82" t="n"/>
    </row>
    <row r="495">
      <c r="B495" s="84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82" t="n"/>
      <c r="M495" s="82" t="n"/>
      <c r="N495" s="82" t="n"/>
      <c r="O495" s="82" t="n"/>
      <c r="P495" s="82" t="n"/>
      <c r="Q495" s="82" t="n"/>
      <c r="R495" s="82" t="n"/>
      <c r="S495" s="82" t="n"/>
      <c r="T495" s="82" t="n"/>
      <c r="U495" s="82" t="n"/>
      <c r="V495" s="82" t="n"/>
      <c r="W495" s="82" t="n"/>
      <c r="X495" s="82" t="n"/>
      <c r="Y495" s="82" t="n"/>
      <c r="Z495" s="82" t="n"/>
      <c r="AA495" s="82" t="n"/>
      <c r="AB495" s="82" t="n"/>
      <c r="AC495" s="82" t="n"/>
      <c r="AD495" s="82" t="n"/>
      <c r="AE495" s="82" t="n"/>
      <c r="AF495" s="82" t="n"/>
      <c r="AG495" s="82" t="n"/>
      <c r="AH495" s="82" t="n"/>
      <c r="AI495" s="82" t="n"/>
      <c r="AJ495" s="82" t="n"/>
      <c r="AK495" s="82" t="n"/>
    </row>
    <row r="496">
      <c r="B496" s="84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82" t="n"/>
      <c r="M496" s="82" t="n"/>
      <c r="N496" s="82" t="n"/>
      <c r="O496" s="82" t="n"/>
      <c r="P496" s="82" t="n"/>
      <c r="Q496" s="82" t="n"/>
      <c r="R496" s="82" t="n"/>
      <c r="S496" s="82" t="n"/>
      <c r="T496" s="82" t="n"/>
      <c r="U496" s="82" t="n"/>
      <c r="V496" s="82" t="n"/>
      <c r="W496" s="82" t="n"/>
      <c r="X496" s="82" t="n"/>
      <c r="Y496" s="82" t="n"/>
      <c r="Z496" s="82" t="n"/>
      <c r="AA496" s="82" t="n"/>
      <c r="AB496" s="82" t="n"/>
      <c r="AC496" s="82" t="n"/>
      <c r="AD496" s="82" t="n"/>
      <c r="AE496" s="82" t="n"/>
      <c r="AF496" s="82" t="n"/>
      <c r="AG496" s="82" t="n"/>
      <c r="AH496" s="82" t="n"/>
      <c r="AI496" s="82" t="n"/>
      <c r="AJ496" s="82" t="n"/>
      <c r="AK496" s="82" t="n"/>
    </row>
    <row r="497">
      <c r="B497" s="84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82" t="n"/>
      <c r="M497" s="82" t="n"/>
      <c r="N497" s="82" t="n"/>
      <c r="O497" s="82" t="n"/>
      <c r="P497" s="82" t="n"/>
      <c r="Q497" s="82" t="n"/>
      <c r="R497" s="82" t="n"/>
      <c r="S497" s="82" t="n"/>
      <c r="T497" s="82" t="n"/>
      <c r="U497" s="82" t="n"/>
      <c r="V497" s="82" t="n"/>
      <c r="W497" s="82" t="n"/>
      <c r="X497" s="82" t="n"/>
      <c r="Y497" s="82" t="n"/>
      <c r="Z497" s="82" t="n"/>
      <c r="AA497" s="82" t="n"/>
      <c r="AB497" s="82" t="n"/>
      <c r="AC497" s="82" t="n"/>
      <c r="AD497" s="82" t="n"/>
      <c r="AE497" s="82" t="n"/>
      <c r="AF497" s="82" t="n"/>
      <c r="AG497" s="82" t="n"/>
      <c r="AH497" s="82" t="n"/>
      <c r="AI497" s="82" t="n"/>
      <c r="AJ497" s="82" t="n"/>
      <c r="AK497" s="82" t="n"/>
    </row>
    <row r="498">
      <c r="B498" s="84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82" t="n"/>
      <c r="M498" s="82" t="n"/>
      <c r="N498" s="82" t="n"/>
      <c r="O498" s="82" t="n"/>
      <c r="P498" s="82" t="n"/>
      <c r="Q498" s="82" t="n"/>
      <c r="R498" s="82" t="n"/>
      <c r="S498" s="82" t="n"/>
      <c r="T498" s="82" t="n"/>
      <c r="U498" s="82" t="n"/>
      <c r="V498" s="82" t="n"/>
      <c r="W498" s="82" t="n"/>
      <c r="X498" s="82" t="n"/>
      <c r="Y498" s="82" t="n"/>
      <c r="Z498" s="82" t="n"/>
      <c r="AA498" s="82" t="n"/>
      <c r="AB498" s="82" t="n"/>
      <c r="AC498" s="82" t="n"/>
      <c r="AD498" s="82" t="n"/>
      <c r="AE498" s="82" t="n"/>
      <c r="AF498" s="82" t="n"/>
      <c r="AG498" s="82" t="n"/>
      <c r="AH498" s="82" t="n"/>
      <c r="AI498" s="82" t="n"/>
      <c r="AJ498" s="82" t="n"/>
      <c r="AK498" s="82" t="n"/>
    </row>
    <row r="499">
      <c r="B499" s="84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82" t="n"/>
      <c r="M499" s="82" t="n"/>
      <c r="N499" s="82" t="n"/>
      <c r="O499" s="82" t="n"/>
      <c r="P499" s="82" t="n"/>
      <c r="Q499" s="82" t="n"/>
      <c r="R499" s="82" t="n"/>
      <c r="S499" s="82" t="n"/>
      <c r="T499" s="82" t="n"/>
      <c r="U499" s="82" t="n"/>
      <c r="V499" s="82" t="n"/>
      <c r="W499" s="82" t="n"/>
      <c r="X499" s="82" t="n"/>
      <c r="Y499" s="82" t="n"/>
      <c r="Z499" s="82" t="n"/>
      <c r="AA499" s="82" t="n"/>
      <c r="AB499" s="82" t="n"/>
      <c r="AC499" s="82" t="n"/>
      <c r="AD499" s="82" t="n"/>
      <c r="AE499" s="82" t="n"/>
      <c r="AF499" s="82" t="n"/>
      <c r="AG499" s="82" t="n"/>
      <c r="AH499" s="82" t="n"/>
      <c r="AI499" s="82" t="n"/>
      <c r="AJ499" s="82" t="n"/>
      <c r="AK499" s="82" t="n"/>
    </row>
    <row r="500">
      <c r="B500" s="84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82" t="n"/>
      <c r="M500" s="82" t="n"/>
      <c r="N500" s="82" t="n"/>
      <c r="O500" s="82" t="n"/>
      <c r="P500" s="82" t="n"/>
      <c r="Q500" s="82" t="n"/>
      <c r="R500" s="82" t="n"/>
      <c r="S500" s="82" t="n"/>
      <c r="T500" s="82" t="n"/>
      <c r="U500" s="82" t="n"/>
      <c r="V500" s="82" t="n"/>
      <c r="W500" s="82" t="n"/>
      <c r="X500" s="82" t="n"/>
      <c r="Y500" s="82" t="n"/>
      <c r="Z500" s="82" t="n"/>
      <c r="AA500" s="82" t="n"/>
      <c r="AB500" s="82" t="n"/>
      <c r="AC500" s="82" t="n"/>
      <c r="AD500" s="82" t="n"/>
      <c r="AE500" s="82" t="n"/>
      <c r="AF500" s="82" t="n"/>
      <c r="AG500" s="82" t="n"/>
      <c r="AH500" s="82" t="n"/>
      <c r="AI500" s="82" t="n"/>
      <c r="AJ500" s="82" t="n"/>
      <c r="AK500" s="82" t="n"/>
    </row>
    <row r="501">
      <c r="B501" s="84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82" t="n"/>
      <c r="M501" s="82" t="n"/>
      <c r="N501" s="82" t="n"/>
      <c r="O501" s="82" t="n"/>
      <c r="P501" s="82" t="n"/>
      <c r="Q501" s="82" t="n"/>
      <c r="R501" s="82" t="n"/>
      <c r="S501" s="82" t="n"/>
      <c r="T501" s="82" t="n"/>
      <c r="U501" s="82" t="n"/>
      <c r="V501" s="82" t="n"/>
      <c r="W501" s="82" t="n"/>
      <c r="X501" s="82" t="n"/>
      <c r="Y501" s="82" t="n"/>
      <c r="Z501" s="82" t="n"/>
      <c r="AA501" s="82" t="n"/>
      <c r="AB501" s="82" t="n"/>
      <c r="AC501" s="82" t="n"/>
      <c r="AD501" s="82" t="n"/>
      <c r="AE501" s="82" t="n"/>
      <c r="AF501" s="82" t="n"/>
      <c r="AG501" s="82" t="n"/>
      <c r="AH501" s="82" t="n"/>
      <c r="AI501" s="82" t="n"/>
      <c r="AJ501" s="82" t="n"/>
      <c r="AK501" s="82" t="n"/>
    </row>
    <row r="502">
      <c r="B502" s="84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82" t="n"/>
      <c r="M502" s="82" t="n"/>
      <c r="N502" s="82" t="n"/>
      <c r="O502" s="82" t="n"/>
      <c r="P502" s="82" t="n"/>
      <c r="Q502" s="82" t="n"/>
      <c r="R502" s="82" t="n"/>
      <c r="S502" s="82" t="n"/>
      <c r="T502" s="82" t="n"/>
      <c r="U502" s="82" t="n"/>
      <c r="V502" s="82" t="n"/>
      <c r="W502" s="82" t="n"/>
      <c r="X502" s="82" t="n"/>
      <c r="Y502" s="82" t="n"/>
      <c r="Z502" s="82" t="n"/>
      <c r="AA502" s="82" t="n"/>
      <c r="AB502" s="82" t="n"/>
      <c r="AC502" s="82" t="n"/>
      <c r="AD502" s="82" t="n"/>
      <c r="AE502" s="82" t="n"/>
      <c r="AF502" s="82" t="n"/>
      <c r="AG502" s="82" t="n"/>
      <c r="AH502" s="82" t="n"/>
      <c r="AI502" s="82" t="n"/>
      <c r="AJ502" s="82" t="n"/>
      <c r="AK502" s="82" t="n"/>
    </row>
    <row r="503">
      <c r="B503" s="84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82" t="n"/>
      <c r="M503" s="82" t="n"/>
      <c r="N503" s="82" t="n"/>
      <c r="O503" s="82" t="n"/>
      <c r="P503" s="82" t="n"/>
      <c r="Q503" s="82" t="n"/>
      <c r="R503" s="82" t="n"/>
      <c r="S503" s="82" t="n"/>
      <c r="T503" s="82" t="n"/>
      <c r="U503" s="82" t="n"/>
      <c r="V503" s="82" t="n"/>
      <c r="W503" s="82" t="n"/>
      <c r="X503" s="82" t="n"/>
      <c r="Y503" s="82" t="n"/>
      <c r="Z503" s="82" t="n"/>
      <c r="AA503" s="82" t="n"/>
      <c r="AB503" s="82" t="n"/>
      <c r="AC503" s="82" t="n"/>
      <c r="AD503" s="82" t="n"/>
      <c r="AE503" s="82" t="n"/>
      <c r="AF503" s="82" t="n"/>
      <c r="AG503" s="82" t="n"/>
      <c r="AH503" s="82" t="n"/>
      <c r="AI503" s="82" t="n"/>
      <c r="AJ503" s="82" t="n"/>
      <c r="AK503" s="82" t="n"/>
    </row>
    <row r="504">
      <c r="B504" s="84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82" t="n"/>
      <c r="M504" s="82" t="n"/>
      <c r="N504" s="82" t="n"/>
      <c r="O504" s="82" t="n"/>
      <c r="P504" s="82" t="n"/>
      <c r="Q504" s="82" t="n"/>
      <c r="R504" s="82" t="n"/>
      <c r="S504" s="82" t="n"/>
      <c r="T504" s="82" t="n"/>
      <c r="U504" s="82" t="n"/>
      <c r="V504" s="82" t="n"/>
      <c r="W504" s="82" t="n"/>
      <c r="X504" s="82" t="n"/>
      <c r="Y504" s="82" t="n"/>
      <c r="Z504" s="82" t="n"/>
      <c r="AA504" s="82" t="n"/>
      <c r="AB504" s="82" t="n"/>
      <c r="AC504" s="82" t="n"/>
      <c r="AD504" s="82" t="n"/>
      <c r="AE504" s="82" t="n"/>
      <c r="AF504" s="82" t="n"/>
      <c r="AG504" s="82" t="n"/>
      <c r="AH504" s="82" t="n"/>
      <c r="AI504" s="82" t="n"/>
      <c r="AJ504" s="82" t="n"/>
      <c r="AK504" s="82" t="n"/>
    </row>
    <row r="505">
      <c r="B505" s="84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82" t="n"/>
      <c r="M505" s="82" t="n"/>
      <c r="N505" s="82" t="n"/>
      <c r="O505" s="82" t="n"/>
      <c r="P505" s="82" t="n"/>
      <c r="Q505" s="82" t="n"/>
      <c r="R505" s="82" t="n"/>
      <c r="S505" s="82" t="n"/>
      <c r="T505" s="82" t="n"/>
      <c r="U505" s="82" t="n"/>
      <c r="V505" s="82" t="n"/>
      <c r="W505" s="82" t="n"/>
      <c r="X505" s="82" t="n"/>
      <c r="Y505" s="82" t="n"/>
      <c r="Z505" s="82" t="n"/>
      <c r="AA505" s="82" t="n"/>
      <c r="AB505" s="82" t="n"/>
      <c r="AC505" s="82" t="n"/>
      <c r="AD505" s="82" t="n"/>
      <c r="AE505" s="82" t="n"/>
      <c r="AF505" s="82" t="n"/>
      <c r="AG505" s="82" t="n"/>
      <c r="AH505" s="82" t="n"/>
      <c r="AI505" s="82" t="n"/>
      <c r="AJ505" s="82" t="n"/>
      <c r="AK505" s="82" t="n"/>
    </row>
    <row r="506">
      <c r="B506" s="84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82" t="n"/>
      <c r="M506" s="82" t="n"/>
      <c r="N506" s="82" t="n"/>
      <c r="O506" s="82" t="n"/>
      <c r="P506" s="82" t="n"/>
      <c r="Q506" s="82" t="n"/>
      <c r="R506" s="82" t="n"/>
      <c r="S506" s="82" t="n"/>
      <c r="T506" s="82" t="n"/>
      <c r="U506" s="82" t="n"/>
      <c r="V506" s="82" t="n"/>
      <c r="W506" s="82" t="n"/>
      <c r="X506" s="82" t="n"/>
      <c r="Y506" s="82" t="n"/>
      <c r="Z506" s="82" t="n"/>
      <c r="AA506" s="82" t="n"/>
      <c r="AB506" s="82" t="n"/>
      <c r="AC506" s="82" t="n"/>
      <c r="AD506" s="82" t="n"/>
      <c r="AE506" s="82" t="n"/>
      <c r="AF506" s="82" t="n"/>
      <c r="AG506" s="82" t="n"/>
      <c r="AH506" s="82" t="n"/>
      <c r="AI506" s="82" t="n"/>
      <c r="AJ506" s="82" t="n"/>
      <c r="AK506" s="82" t="n"/>
    </row>
    <row r="507">
      <c r="B507" s="84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82" t="n"/>
      <c r="M507" s="82" t="n"/>
      <c r="N507" s="82" t="n"/>
      <c r="O507" s="82" t="n"/>
      <c r="P507" s="82" t="n"/>
      <c r="Q507" s="82" t="n"/>
      <c r="R507" s="82" t="n"/>
      <c r="S507" s="82" t="n"/>
      <c r="T507" s="82" t="n"/>
      <c r="U507" s="82" t="n"/>
      <c r="V507" s="82" t="n"/>
      <c r="W507" s="82" t="n"/>
      <c r="X507" s="82" t="n"/>
      <c r="Y507" s="82" t="n"/>
      <c r="Z507" s="82" t="n"/>
      <c r="AA507" s="82" t="n"/>
      <c r="AB507" s="82" t="n"/>
      <c r="AC507" s="82" t="n"/>
      <c r="AD507" s="82" t="n"/>
      <c r="AE507" s="82" t="n"/>
      <c r="AF507" s="82" t="n"/>
      <c r="AG507" s="82" t="n"/>
      <c r="AH507" s="82" t="n"/>
      <c r="AI507" s="82" t="n"/>
      <c r="AJ507" s="82" t="n"/>
      <c r="AK507" s="82" t="n"/>
    </row>
    <row r="508">
      <c r="B508" s="84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82" t="n"/>
      <c r="M508" s="82" t="n"/>
      <c r="N508" s="82" t="n"/>
      <c r="O508" s="82" t="n"/>
      <c r="P508" s="82" t="n"/>
      <c r="Q508" s="82" t="n"/>
      <c r="R508" s="82" t="n"/>
      <c r="S508" s="82" t="n"/>
      <c r="T508" s="82" t="n"/>
      <c r="U508" s="82" t="n"/>
      <c r="V508" s="82" t="n"/>
      <c r="W508" s="82" t="n"/>
      <c r="X508" s="82" t="n"/>
      <c r="Y508" s="82" t="n"/>
      <c r="Z508" s="82" t="n"/>
      <c r="AA508" s="82" t="n"/>
      <c r="AB508" s="82" t="n"/>
      <c r="AC508" s="82" t="n"/>
      <c r="AD508" s="82" t="n"/>
      <c r="AE508" s="82" t="n"/>
      <c r="AF508" s="82" t="n"/>
      <c r="AG508" s="82" t="n"/>
      <c r="AH508" s="82" t="n"/>
      <c r="AI508" s="82" t="n"/>
      <c r="AJ508" s="82" t="n"/>
      <c r="AK508" s="82" t="n"/>
    </row>
    <row r="509">
      <c r="B509" s="84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82" t="n"/>
      <c r="M509" s="82" t="n"/>
      <c r="N509" s="82" t="n"/>
      <c r="O509" s="82" t="n"/>
      <c r="P509" s="82" t="n"/>
      <c r="Q509" s="82" t="n"/>
      <c r="R509" s="82" t="n"/>
      <c r="S509" s="82" t="n"/>
      <c r="T509" s="82" t="n"/>
      <c r="U509" s="82" t="n"/>
      <c r="V509" s="82" t="n"/>
      <c r="W509" s="82" t="n"/>
      <c r="X509" s="82" t="n"/>
      <c r="Y509" s="82" t="n"/>
      <c r="Z509" s="82" t="n"/>
      <c r="AA509" s="82" t="n"/>
      <c r="AB509" s="82" t="n"/>
      <c r="AC509" s="82" t="n"/>
      <c r="AD509" s="82" t="n"/>
      <c r="AE509" s="82" t="n"/>
      <c r="AF509" s="82" t="n"/>
      <c r="AG509" s="82" t="n"/>
      <c r="AH509" s="82" t="n"/>
      <c r="AI509" s="82" t="n"/>
      <c r="AJ509" s="82" t="n"/>
      <c r="AK509" s="82" t="n"/>
    </row>
    <row r="510">
      <c r="B510" s="84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82" t="n"/>
      <c r="M510" s="82" t="n"/>
      <c r="N510" s="82" t="n"/>
      <c r="O510" s="82" t="n"/>
      <c r="P510" s="82" t="n"/>
      <c r="Q510" s="82" t="n"/>
      <c r="R510" s="82" t="n"/>
      <c r="S510" s="82" t="n"/>
      <c r="T510" s="82" t="n"/>
      <c r="U510" s="82" t="n"/>
      <c r="V510" s="82" t="n"/>
      <c r="W510" s="82" t="n"/>
      <c r="X510" s="82" t="n"/>
      <c r="Y510" s="82" t="n"/>
      <c r="Z510" s="82" t="n"/>
      <c r="AA510" s="82" t="n"/>
      <c r="AB510" s="82" t="n"/>
      <c r="AC510" s="82" t="n"/>
      <c r="AD510" s="82" t="n"/>
      <c r="AE510" s="82" t="n"/>
      <c r="AF510" s="82" t="n"/>
      <c r="AG510" s="82" t="n"/>
      <c r="AH510" s="82" t="n"/>
      <c r="AI510" s="82" t="n"/>
      <c r="AJ510" s="82" t="n"/>
      <c r="AK510" s="82" t="n"/>
    </row>
    <row r="511">
      <c r="B511" s="84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82" t="n"/>
      <c r="M511" s="82" t="n"/>
      <c r="N511" s="82" t="n"/>
      <c r="O511" s="82" t="n"/>
      <c r="P511" s="82" t="n"/>
      <c r="Q511" s="82" t="n"/>
      <c r="R511" s="82" t="n"/>
      <c r="S511" s="82" t="n"/>
      <c r="T511" s="82" t="n"/>
      <c r="U511" s="82" t="n"/>
      <c r="V511" s="82" t="n"/>
      <c r="W511" s="82" t="n"/>
      <c r="X511" s="82" t="n"/>
      <c r="Y511" s="82" t="n"/>
      <c r="Z511" s="82" t="n"/>
      <c r="AA511" s="82" t="n"/>
      <c r="AB511" s="82" t="n"/>
      <c r="AC511" s="82" t="n"/>
      <c r="AD511" s="82" t="n"/>
      <c r="AE511" s="82" t="n"/>
      <c r="AF511" s="82" t="n"/>
      <c r="AG511" s="82" t="n"/>
      <c r="AH511" s="82" t="n"/>
      <c r="AI511" s="82" t="n"/>
      <c r="AJ511" s="82" t="n"/>
      <c r="AK511" s="82" t="n"/>
    </row>
    <row r="512">
      <c r="B512" s="84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82" t="n"/>
      <c r="M512" s="82" t="n"/>
      <c r="N512" s="82" t="n"/>
      <c r="O512" s="82" t="n"/>
      <c r="P512" s="82" t="n"/>
      <c r="Q512" s="82" t="n"/>
      <c r="R512" s="82" t="n"/>
      <c r="S512" s="82" t="n"/>
      <c r="T512" s="82" t="n"/>
      <c r="U512" s="82" t="n"/>
      <c r="V512" s="82" t="n"/>
      <c r="W512" s="82" t="n"/>
      <c r="X512" s="82" t="n"/>
      <c r="Y512" s="82" t="n"/>
      <c r="Z512" s="82" t="n"/>
      <c r="AA512" s="82" t="n"/>
      <c r="AB512" s="82" t="n"/>
      <c r="AC512" s="82" t="n"/>
      <c r="AD512" s="82" t="n"/>
      <c r="AE512" s="82" t="n"/>
      <c r="AF512" s="82" t="n"/>
      <c r="AG512" s="82" t="n"/>
      <c r="AH512" s="82" t="n"/>
      <c r="AI512" s="82" t="n"/>
      <c r="AJ512" s="82" t="n"/>
      <c r="AK512" s="82" t="n"/>
    </row>
    <row r="513">
      <c r="B513" s="84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82" t="n"/>
      <c r="M513" s="82" t="n"/>
      <c r="N513" s="82" t="n"/>
      <c r="O513" s="82" t="n"/>
      <c r="P513" s="82" t="n"/>
      <c r="Q513" s="82" t="n"/>
      <c r="R513" s="82" t="n"/>
      <c r="S513" s="82" t="n"/>
      <c r="T513" s="82" t="n"/>
      <c r="U513" s="82" t="n"/>
      <c r="V513" s="82" t="n"/>
      <c r="W513" s="82" t="n"/>
      <c r="X513" s="82" t="n"/>
      <c r="Y513" s="82" t="n"/>
      <c r="Z513" s="82" t="n"/>
      <c r="AA513" s="82" t="n"/>
      <c r="AB513" s="82" t="n"/>
      <c r="AC513" s="82" t="n"/>
      <c r="AD513" s="82" t="n"/>
      <c r="AE513" s="82" t="n"/>
      <c r="AF513" s="82" t="n"/>
      <c r="AG513" s="82" t="n"/>
      <c r="AH513" s="82" t="n"/>
      <c r="AI513" s="82" t="n"/>
      <c r="AJ513" s="82" t="n"/>
      <c r="AK513" s="82" t="n"/>
    </row>
    <row r="514">
      <c r="B514" s="84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82" t="n"/>
      <c r="M514" s="82" t="n"/>
      <c r="N514" s="82" t="n"/>
      <c r="O514" s="82" t="n"/>
      <c r="P514" s="82" t="n"/>
      <c r="Q514" s="82" t="n"/>
      <c r="R514" s="82" t="n"/>
      <c r="S514" s="82" t="n"/>
      <c r="T514" s="82" t="n"/>
      <c r="U514" s="82" t="n"/>
      <c r="V514" s="82" t="n"/>
      <c r="W514" s="82" t="n"/>
      <c r="X514" s="82" t="n"/>
      <c r="Y514" s="82" t="n"/>
      <c r="Z514" s="82" t="n"/>
      <c r="AA514" s="82" t="n"/>
      <c r="AB514" s="82" t="n"/>
      <c r="AC514" s="82" t="n"/>
      <c r="AD514" s="82" t="n"/>
      <c r="AE514" s="82" t="n"/>
      <c r="AF514" s="82" t="n"/>
      <c r="AG514" s="82" t="n"/>
      <c r="AH514" s="82" t="n"/>
      <c r="AI514" s="82" t="n"/>
      <c r="AJ514" s="82" t="n"/>
      <c r="AK514" s="82" t="n"/>
    </row>
    <row r="515">
      <c r="B515" s="84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82" t="n"/>
      <c r="M515" s="82" t="n"/>
      <c r="N515" s="82" t="n"/>
      <c r="O515" s="82" t="n"/>
      <c r="P515" s="82" t="n"/>
      <c r="Q515" s="82" t="n"/>
      <c r="R515" s="82" t="n"/>
      <c r="S515" s="82" t="n"/>
      <c r="T515" s="82" t="n"/>
      <c r="U515" s="82" t="n"/>
      <c r="V515" s="82" t="n"/>
      <c r="W515" s="82" t="n"/>
      <c r="X515" s="82" t="n"/>
      <c r="Y515" s="82" t="n"/>
      <c r="Z515" s="82" t="n"/>
      <c r="AA515" s="82" t="n"/>
      <c r="AB515" s="82" t="n"/>
      <c r="AC515" s="82" t="n"/>
      <c r="AD515" s="82" t="n"/>
      <c r="AE515" s="82" t="n"/>
      <c r="AF515" s="82" t="n"/>
      <c r="AG515" s="82" t="n"/>
      <c r="AH515" s="82" t="n"/>
      <c r="AI515" s="82" t="n"/>
      <c r="AJ515" s="82" t="n"/>
      <c r="AK515" s="82" t="n"/>
    </row>
    <row r="516">
      <c r="B516" s="84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82" t="n"/>
      <c r="M516" s="82" t="n"/>
      <c r="N516" s="82" t="n"/>
      <c r="O516" s="82" t="n"/>
      <c r="P516" s="82" t="n"/>
      <c r="Q516" s="82" t="n"/>
      <c r="R516" s="82" t="n"/>
      <c r="S516" s="82" t="n"/>
      <c r="T516" s="82" t="n"/>
      <c r="U516" s="82" t="n"/>
      <c r="V516" s="82" t="n"/>
      <c r="W516" s="82" t="n"/>
      <c r="X516" s="82" t="n"/>
      <c r="Y516" s="82" t="n"/>
      <c r="Z516" s="82" t="n"/>
      <c r="AA516" s="82" t="n"/>
      <c r="AB516" s="82" t="n"/>
      <c r="AC516" s="82" t="n"/>
      <c r="AD516" s="82" t="n"/>
      <c r="AE516" s="82" t="n"/>
      <c r="AF516" s="82" t="n"/>
      <c r="AG516" s="82" t="n"/>
      <c r="AH516" s="82" t="n"/>
      <c r="AI516" s="82" t="n"/>
      <c r="AJ516" s="82" t="n"/>
      <c r="AK516" s="82" t="n"/>
    </row>
    <row r="517">
      <c r="B517" s="84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82" t="n"/>
      <c r="M517" s="82" t="n"/>
      <c r="N517" s="82" t="n"/>
      <c r="O517" s="82" t="n"/>
      <c r="P517" s="82" t="n"/>
      <c r="Q517" s="82" t="n"/>
      <c r="R517" s="82" t="n"/>
      <c r="S517" s="82" t="n"/>
      <c r="T517" s="82" t="n"/>
      <c r="U517" s="82" t="n"/>
      <c r="V517" s="82" t="n"/>
      <c r="W517" s="82" t="n"/>
      <c r="X517" s="82" t="n"/>
      <c r="Y517" s="82" t="n"/>
      <c r="Z517" s="82" t="n"/>
      <c r="AA517" s="82" t="n"/>
      <c r="AB517" s="82" t="n"/>
      <c r="AC517" s="82" t="n"/>
      <c r="AD517" s="82" t="n"/>
      <c r="AE517" s="82" t="n"/>
      <c r="AF517" s="82" t="n"/>
      <c r="AG517" s="82" t="n"/>
      <c r="AH517" s="82" t="n"/>
      <c r="AI517" s="82" t="n"/>
      <c r="AJ517" s="82" t="n"/>
      <c r="AK517" s="82" t="n"/>
    </row>
    <row r="518">
      <c r="B518" s="84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82" t="n"/>
      <c r="M518" s="82" t="n"/>
      <c r="N518" s="82" t="n"/>
      <c r="O518" s="82" t="n"/>
      <c r="P518" s="82" t="n"/>
      <c r="Q518" s="82" t="n"/>
      <c r="R518" s="82" t="n"/>
      <c r="S518" s="82" t="n"/>
      <c r="T518" s="82" t="n"/>
      <c r="U518" s="82" t="n"/>
      <c r="V518" s="82" t="n"/>
      <c r="W518" s="82" t="n"/>
      <c r="X518" s="82" t="n"/>
      <c r="Y518" s="82" t="n"/>
      <c r="Z518" s="82" t="n"/>
      <c r="AA518" s="82" t="n"/>
      <c r="AB518" s="82" t="n"/>
      <c r="AC518" s="82" t="n"/>
      <c r="AD518" s="82" t="n"/>
      <c r="AE518" s="82" t="n"/>
      <c r="AF518" s="82" t="n"/>
      <c r="AG518" s="82" t="n"/>
      <c r="AH518" s="82" t="n"/>
      <c r="AI518" s="82" t="n"/>
      <c r="AJ518" s="82" t="n"/>
      <c r="AK518" s="82" t="n"/>
    </row>
    <row r="519">
      <c r="B519" s="84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82" t="n"/>
      <c r="M519" s="82" t="n"/>
      <c r="N519" s="82" t="n"/>
      <c r="O519" s="82" t="n"/>
      <c r="P519" s="82" t="n"/>
      <c r="Q519" s="82" t="n"/>
      <c r="R519" s="82" t="n"/>
      <c r="S519" s="82" t="n"/>
      <c r="T519" s="82" t="n"/>
      <c r="U519" s="82" t="n"/>
      <c r="V519" s="82" t="n"/>
      <c r="W519" s="82" t="n"/>
      <c r="X519" s="82" t="n"/>
      <c r="Y519" s="82" t="n"/>
      <c r="Z519" s="82" t="n"/>
      <c r="AA519" s="82" t="n"/>
      <c r="AB519" s="82" t="n"/>
      <c r="AC519" s="82" t="n"/>
      <c r="AD519" s="82" t="n"/>
      <c r="AE519" s="82" t="n"/>
      <c r="AF519" s="82" t="n"/>
      <c r="AG519" s="82" t="n"/>
      <c r="AH519" s="82" t="n"/>
      <c r="AI519" s="82" t="n"/>
      <c r="AJ519" s="82" t="n"/>
      <c r="AK519" s="82" t="n"/>
    </row>
    <row r="520">
      <c r="B520" s="84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82" t="n"/>
      <c r="M520" s="82" t="n"/>
      <c r="N520" s="82" t="n"/>
      <c r="O520" s="82" t="n"/>
      <c r="P520" s="82" t="n"/>
      <c r="Q520" s="82" t="n"/>
      <c r="R520" s="82" t="n"/>
      <c r="S520" s="82" t="n"/>
      <c r="T520" s="82" t="n"/>
      <c r="U520" s="82" t="n"/>
      <c r="V520" s="82" t="n"/>
      <c r="W520" s="82" t="n"/>
      <c r="X520" s="82" t="n"/>
      <c r="Y520" s="82" t="n"/>
      <c r="Z520" s="82" t="n"/>
      <c r="AA520" s="82" t="n"/>
      <c r="AB520" s="82" t="n"/>
      <c r="AC520" s="82" t="n"/>
      <c r="AD520" s="82" t="n"/>
      <c r="AE520" s="82" t="n"/>
      <c r="AF520" s="82" t="n"/>
      <c r="AG520" s="82" t="n"/>
      <c r="AH520" s="82" t="n"/>
      <c r="AI520" s="82" t="n"/>
      <c r="AJ520" s="82" t="n"/>
      <c r="AK520" s="82" t="n"/>
    </row>
    <row r="521">
      <c r="B521" s="84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82" t="n"/>
      <c r="M521" s="82" t="n"/>
      <c r="N521" s="82" t="n"/>
      <c r="O521" s="82" t="n"/>
      <c r="P521" s="82" t="n"/>
      <c r="Q521" s="82" t="n"/>
      <c r="R521" s="82" t="n"/>
      <c r="S521" s="82" t="n"/>
      <c r="T521" s="82" t="n"/>
      <c r="U521" s="82" t="n"/>
      <c r="V521" s="82" t="n"/>
      <c r="W521" s="82" t="n"/>
      <c r="X521" s="82" t="n"/>
      <c r="Y521" s="82" t="n"/>
      <c r="Z521" s="82" t="n"/>
      <c r="AA521" s="82" t="n"/>
      <c r="AB521" s="82" t="n"/>
      <c r="AC521" s="82" t="n"/>
      <c r="AD521" s="82" t="n"/>
      <c r="AE521" s="82" t="n"/>
      <c r="AF521" s="82" t="n"/>
      <c r="AG521" s="82" t="n"/>
      <c r="AH521" s="82" t="n"/>
      <c r="AI521" s="82" t="n"/>
      <c r="AJ521" s="82" t="n"/>
      <c r="AK521" s="82" t="n"/>
    </row>
    <row r="522">
      <c r="B522" s="84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82" t="n"/>
      <c r="M522" s="82" t="n"/>
      <c r="N522" s="82" t="n"/>
      <c r="O522" s="82" t="n"/>
      <c r="P522" s="82" t="n"/>
      <c r="Q522" s="82" t="n"/>
      <c r="R522" s="82" t="n"/>
      <c r="S522" s="82" t="n"/>
      <c r="T522" s="82" t="n"/>
      <c r="U522" s="82" t="n"/>
      <c r="V522" s="82" t="n"/>
      <c r="W522" s="82" t="n"/>
      <c r="X522" s="82" t="n"/>
      <c r="Y522" s="82" t="n"/>
      <c r="Z522" s="82" t="n"/>
      <c r="AA522" s="82" t="n"/>
      <c r="AB522" s="82" t="n"/>
      <c r="AC522" s="82" t="n"/>
      <c r="AD522" s="82" t="n"/>
      <c r="AE522" s="82" t="n"/>
      <c r="AF522" s="82" t="n"/>
      <c r="AG522" s="82" t="n"/>
      <c r="AH522" s="82" t="n"/>
      <c r="AI522" s="82" t="n"/>
      <c r="AJ522" s="82" t="n"/>
      <c r="AK522" s="82" t="n"/>
    </row>
    <row r="523">
      <c r="B523" s="84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82" t="n"/>
      <c r="M523" s="82" t="n"/>
      <c r="N523" s="82" t="n"/>
      <c r="O523" s="82" t="n"/>
      <c r="P523" s="82" t="n"/>
      <c r="Q523" s="82" t="n"/>
      <c r="R523" s="82" t="n"/>
      <c r="S523" s="82" t="n"/>
      <c r="T523" s="82" t="n"/>
      <c r="U523" s="82" t="n"/>
      <c r="V523" s="82" t="n"/>
      <c r="W523" s="82" t="n"/>
      <c r="X523" s="82" t="n"/>
      <c r="Y523" s="82" t="n"/>
      <c r="Z523" s="82" t="n"/>
      <c r="AA523" s="82" t="n"/>
      <c r="AB523" s="82" t="n"/>
      <c r="AC523" s="82" t="n"/>
      <c r="AD523" s="82" t="n"/>
      <c r="AE523" s="82" t="n"/>
      <c r="AF523" s="82" t="n"/>
      <c r="AG523" s="82" t="n"/>
      <c r="AH523" s="82" t="n"/>
      <c r="AI523" s="82" t="n"/>
      <c r="AJ523" s="82" t="n"/>
      <c r="AK523" s="82" t="n"/>
    </row>
    <row r="524">
      <c r="B524" s="84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82" t="n"/>
      <c r="M524" s="82" t="n"/>
      <c r="N524" s="82" t="n"/>
      <c r="O524" s="82" t="n"/>
      <c r="P524" s="82" t="n"/>
      <c r="Q524" s="82" t="n"/>
      <c r="R524" s="82" t="n"/>
      <c r="S524" s="82" t="n"/>
      <c r="T524" s="82" t="n"/>
      <c r="U524" s="82" t="n"/>
      <c r="V524" s="82" t="n"/>
      <c r="W524" s="82" t="n"/>
      <c r="X524" s="82" t="n"/>
      <c r="Y524" s="82" t="n"/>
      <c r="Z524" s="82" t="n"/>
      <c r="AA524" s="82" t="n"/>
      <c r="AB524" s="82" t="n"/>
      <c r="AC524" s="82" t="n"/>
      <c r="AD524" s="82" t="n"/>
      <c r="AE524" s="82" t="n"/>
      <c r="AF524" s="82" t="n"/>
      <c r="AG524" s="82" t="n"/>
      <c r="AH524" s="82" t="n"/>
      <c r="AI524" s="82" t="n"/>
      <c r="AJ524" s="82" t="n"/>
      <c r="AK524" s="82" t="n"/>
    </row>
    <row r="525">
      <c r="B525" s="84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82" t="n"/>
      <c r="M525" s="82" t="n"/>
      <c r="N525" s="82" t="n"/>
      <c r="O525" s="82" t="n"/>
      <c r="P525" s="82" t="n"/>
      <c r="Q525" s="82" t="n"/>
      <c r="R525" s="82" t="n"/>
      <c r="S525" s="82" t="n"/>
      <c r="T525" s="82" t="n"/>
      <c r="U525" s="82" t="n"/>
      <c r="V525" s="82" t="n"/>
      <c r="W525" s="82" t="n"/>
      <c r="X525" s="82" t="n"/>
      <c r="Y525" s="82" t="n"/>
      <c r="Z525" s="82" t="n"/>
      <c r="AA525" s="82" t="n"/>
      <c r="AB525" s="82" t="n"/>
      <c r="AC525" s="82" t="n"/>
      <c r="AD525" s="82" t="n"/>
      <c r="AE525" s="82" t="n"/>
      <c r="AF525" s="82" t="n"/>
      <c r="AG525" s="82" t="n"/>
      <c r="AH525" s="82" t="n"/>
      <c r="AI525" s="82" t="n"/>
      <c r="AJ525" s="82" t="n"/>
      <c r="AK525" s="82" t="n"/>
    </row>
    <row r="526">
      <c r="B526" s="84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82" t="n"/>
      <c r="M526" s="82" t="n"/>
      <c r="N526" s="82" t="n"/>
      <c r="O526" s="82" t="n"/>
      <c r="P526" s="82" t="n"/>
      <c r="Q526" s="82" t="n"/>
      <c r="R526" s="82" t="n"/>
      <c r="S526" s="82" t="n"/>
      <c r="T526" s="82" t="n"/>
      <c r="U526" s="82" t="n"/>
      <c r="V526" s="82" t="n"/>
      <c r="W526" s="82" t="n"/>
      <c r="X526" s="82" t="n"/>
      <c r="Y526" s="82" t="n"/>
      <c r="Z526" s="82" t="n"/>
      <c r="AA526" s="82" t="n"/>
      <c r="AB526" s="82" t="n"/>
      <c r="AC526" s="82" t="n"/>
      <c r="AD526" s="82" t="n"/>
      <c r="AE526" s="82" t="n"/>
      <c r="AF526" s="82" t="n"/>
      <c r="AG526" s="82" t="n"/>
      <c r="AH526" s="82" t="n"/>
      <c r="AI526" s="82" t="n"/>
      <c r="AJ526" s="82" t="n"/>
      <c r="AK526" s="82" t="n"/>
    </row>
    <row r="527">
      <c r="B527" s="84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82" t="n"/>
      <c r="M527" s="82" t="n"/>
      <c r="N527" s="82" t="n"/>
      <c r="O527" s="82" t="n"/>
      <c r="P527" s="82" t="n"/>
      <c r="Q527" s="82" t="n"/>
      <c r="R527" s="82" t="n"/>
      <c r="S527" s="82" t="n"/>
      <c r="T527" s="82" t="n"/>
      <c r="U527" s="82" t="n"/>
      <c r="V527" s="82" t="n"/>
      <c r="W527" s="82" t="n"/>
      <c r="X527" s="82" t="n"/>
      <c r="Y527" s="82" t="n"/>
      <c r="Z527" s="82" t="n"/>
      <c r="AA527" s="82" t="n"/>
      <c r="AB527" s="82" t="n"/>
      <c r="AC527" s="82" t="n"/>
      <c r="AD527" s="82" t="n"/>
      <c r="AE527" s="82" t="n"/>
      <c r="AF527" s="82" t="n"/>
      <c r="AG527" s="82" t="n"/>
      <c r="AH527" s="82" t="n"/>
      <c r="AI527" s="82" t="n"/>
      <c r="AJ527" s="82" t="n"/>
      <c r="AK527" s="82" t="n"/>
    </row>
    <row r="528">
      <c r="B528" s="84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82" t="n"/>
      <c r="M528" s="82" t="n"/>
      <c r="N528" s="82" t="n"/>
      <c r="O528" s="82" t="n"/>
      <c r="P528" s="82" t="n"/>
      <c r="Q528" s="82" t="n"/>
      <c r="R528" s="82" t="n"/>
      <c r="S528" s="82" t="n"/>
      <c r="T528" s="82" t="n"/>
      <c r="U528" s="82" t="n"/>
      <c r="V528" s="82" t="n"/>
      <c r="W528" s="82" t="n"/>
      <c r="X528" s="82" t="n"/>
      <c r="Y528" s="82" t="n"/>
      <c r="Z528" s="82" t="n"/>
      <c r="AA528" s="82" t="n"/>
      <c r="AB528" s="82" t="n"/>
      <c r="AC528" s="82" t="n"/>
      <c r="AD528" s="82" t="n"/>
      <c r="AE528" s="82" t="n"/>
      <c r="AF528" s="82" t="n"/>
      <c r="AG528" s="82" t="n"/>
      <c r="AH528" s="82" t="n"/>
      <c r="AI528" s="82" t="n"/>
      <c r="AJ528" s="82" t="n"/>
      <c r="AK528" s="82" t="n"/>
    </row>
    <row r="529">
      <c r="B529" s="84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82" t="n"/>
      <c r="M529" s="82" t="n"/>
      <c r="N529" s="82" t="n"/>
      <c r="O529" s="82" t="n"/>
      <c r="P529" s="82" t="n"/>
      <c r="Q529" s="82" t="n"/>
      <c r="R529" s="82" t="n"/>
      <c r="S529" s="82" t="n"/>
      <c r="T529" s="82" t="n"/>
      <c r="U529" s="82" t="n"/>
      <c r="V529" s="82" t="n"/>
      <c r="W529" s="82" t="n"/>
      <c r="X529" s="82" t="n"/>
      <c r="Y529" s="82" t="n"/>
      <c r="Z529" s="82" t="n"/>
      <c r="AA529" s="82" t="n"/>
      <c r="AB529" s="82" t="n"/>
      <c r="AC529" s="82" t="n"/>
      <c r="AD529" s="82" t="n"/>
      <c r="AE529" s="82" t="n"/>
      <c r="AF529" s="82" t="n"/>
      <c r="AG529" s="82" t="n"/>
      <c r="AH529" s="82" t="n"/>
      <c r="AI529" s="82" t="n"/>
      <c r="AJ529" s="82" t="n"/>
      <c r="AK529" s="82" t="n"/>
    </row>
    <row r="530">
      <c r="B530" s="84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82" t="n"/>
      <c r="M530" s="82" t="n"/>
      <c r="N530" s="82" t="n"/>
      <c r="O530" s="82" t="n"/>
      <c r="P530" s="82" t="n"/>
      <c r="Q530" s="82" t="n"/>
      <c r="R530" s="82" t="n"/>
      <c r="S530" s="82" t="n"/>
      <c r="T530" s="82" t="n"/>
      <c r="U530" s="82" t="n"/>
      <c r="V530" s="82" t="n"/>
      <c r="W530" s="82" t="n"/>
      <c r="X530" s="82" t="n"/>
      <c r="Y530" s="82" t="n"/>
      <c r="Z530" s="82" t="n"/>
      <c r="AA530" s="82" t="n"/>
      <c r="AB530" s="82" t="n"/>
      <c r="AC530" s="82" t="n"/>
      <c r="AD530" s="82" t="n"/>
      <c r="AE530" s="82" t="n"/>
      <c r="AF530" s="82" t="n"/>
      <c r="AG530" s="82" t="n"/>
      <c r="AH530" s="82" t="n"/>
      <c r="AI530" s="82" t="n"/>
      <c r="AJ530" s="82" t="n"/>
      <c r="AK530" s="82" t="n"/>
    </row>
    <row r="531">
      <c r="B531" s="84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82" t="n"/>
      <c r="M531" s="82" t="n"/>
      <c r="N531" s="82" t="n"/>
      <c r="O531" s="82" t="n"/>
      <c r="P531" s="82" t="n"/>
      <c r="Q531" s="82" t="n"/>
      <c r="R531" s="82" t="n"/>
      <c r="S531" s="82" t="n"/>
      <c r="T531" s="82" t="n"/>
      <c r="U531" s="82" t="n"/>
      <c r="V531" s="82" t="n"/>
      <c r="W531" s="82" t="n"/>
      <c r="X531" s="82" t="n"/>
      <c r="Y531" s="82" t="n"/>
      <c r="Z531" s="82" t="n"/>
      <c r="AA531" s="82" t="n"/>
      <c r="AB531" s="82" t="n"/>
      <c r="AC531" s="82" t="n"/>
      <c r="AD531" s="82" t="n"/>
      <c r="AE531" s="82" t="n"/>
      <c r="AF531" s="82" t="n"/>
      <c r="AG531" s="82" t="n"/>
      <c r="AH531" s="82" t="n"/>
      <c r="AI531" s="82" t="n"/>
      <c r="AJ531" s="82" t="n"/>
      <c r="AK531" s="82" t="n"/>
    </row>
    <row r="532">
      <c r="B532" s="84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82" t="n"/>
      <c r="M532" s="82" t="n"/>
      <c r="N532" s="82" t="n"/>
      <c r="O532" s="82" t="n"/>
      <c r="P532" s="82" t="n"/>
      <c r="Q532" s="82" t="n"/>
      <c r="R532" s="82" t="n"/>
      <c r="S532" s="82" t="n"/>
      <c r="T532" s="82" t="n"/>
      <c r="U532" s="82" t="n"/>
      <c r="V532" s="82" t="n"/>
      <c r="W532" s="82" t="n"/>
      <c r="X532" s="82" t="n"/>
      <c r="Y532" s="82" t="n"/>
      <c r="Z532" s="82" t="n"/>
      <c r="AA532" s="82" t="n"/>
      <c r="AB532" s="82" t="n"/>
      <c r="AC532" s="82" t="n"/>
      <c r="AD532" s="82" t="n"/>
      <c r="AE532" s="82" t="n"/>
      <c r="AF532" s="82" t="n"/>
      <c r="AG532" s="82" t="n"/>
      <c r="AH532" s="82" t="n"/>
      <c r="AI532" s="82" t="n"/>
      <c r="AJ532" s="82" t="n"/>
      <c r="AK532" s="82" t="n"/>
    </row>
    <row r="533">
      <c r="B533" s="84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82" t="n"/>
      <c r="M533" s="82" t="n"/>
      <c r="N533" s="82" t="n"/>
      <c r="O533" s="82" t="n"/>
      <c r="P533" s="82" t="n"/>
      <c r="Q533" s="82" t="n"/>
      <c r="R533" s="82" t="n"/>
      <c r="S533" s="82" t="n"/>
      <c r="T533" s="82" t="n"/>
      <c r="U533" s="82" t="n"/>
      <c r="V533" s="82" t="n"/>
      <c r="W533" s="82" t="n"/>
      <c r="X533" s="82" t="n"/>
      <c r="Y533" s="82" t="n"/>
      <c r="Z533" s="82" t="n"/>
      <c r="AA533" s="82" t="n"/>
      <c r="AB533" s="82" t="n"/>
      <c r="AC533" s="82" t="n"/>
      <c r="AD533" s="82" t="n"/>
      <c r="AE533" s="82" t="n"/>
      <c r="AF533" s="82" t="n"/>
      <c r="AG533" s="82" t="n"/>
      <c r="AH533" s="82" t="n"/>
      <c r="AI533" s="82" t="n"/>
      <c r="AJ533" s="82" t="n"/>
      <c r="AK533" s="82" t="n"/>
    </row>
    <row r="534">
      <c r="B534" s="84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82" t="n"/>
      <c r="M534" s="82" t="n"/>
      <c r="N534" s="82" t="n"/>
      <c r="O534" s="82" t="n"/>
      <c r="P534" s="82" t="n"/>
      <c r="Q534" s="82" t="n"/>
      <c r="R534" s="82" t="n"/>
      <c r="S534" s="82" t="n"/>
      <c r="T534" s="82" t="n"/>
      <c r="U534" s="82" t="n"/>
      <c r="V534" s="82" t="n"/>
      <c r="W534" s="82" t="n"/>
      <c r="X534" s="82" t="n"/>
      <c r="Y534" s="82" t="n"/>
      <c r="Z534" s="82" t="n"/>
      <c r="AA534" s="82" t="n"/>
      <c r="AB534" s="82" t="n"/>
      <c r="AC534" s="82" t="n"/>
      <c r="AD534" s="82" t="n"/>
      <c r="AE534" s="82" t="n"/>
      <c r="AF534" s="82" t="n"/>
      <c r="AG534" s="82" t="n"/>
      <c r="AH534" s="82" t="n"/>
      <c r="AI534" s="82" t="n"/>
      <c r="AJ534" s="82" t="n"/>
      <c r="AK534" s="82" t="n"/>
    </row>
    <row r="535">
      <c r="B535" s="84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82" t="n"/>
      <c r="M535" s="82" t="n"/>
      <c r="N535" s="82" t="n"/>
      <c r="O535" s="82" t="n"/>
      <c r="P535" s="82" t="n"/>
      <c r="Q535" s="82" t="n"/>
      <c r="R535" s="82" t="n"/>
      <c r="S535" s="82" t="n"/>
      <c r="T535" s="82" t="n"/>
      <c r="U535" s="82" t="n"/>
      <c r="V535" s="82" t="n"/>
      <c r="W535" s="82" t="n"/>
      <c r="X535" s="82" t="n"/>
      <c r="Y535" s="82" t="n"/>
      <c r="Z535" s="82" t="n"/>
      <c r="AA535" s="82" t="n"/>
      <c r="AB535" s="82" t="n"/>
      <c r="AC535" s="82" t="n"/>
      <c r="AD535" s="82" t="n"/>
      <c r="AE535" s="82" t="n"/>
      <c r="AF535" s="82" t="n"/>
      <c r="AG535" s="82" t="n"/>
      <c r="AH535" s="82" t="n"/>
      <c r="AI535" s="82" t="n"/>
      <c r="AJ535" s="82" t="n"/>
      <c r="AK535" s="82" t="n"/>
    </row>
    <row r="536">
      <c r="B536" s="84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82" t="n"/>
      <c r="M536" s="82" t="n"/>
      <c r="N536" s="82" t="n"/>
      <c r="O536" s="82" t="n"/>
      <c r="P536" s="82" t="n"/>
      <c r="Q536" s="82" t="n"/>
      <c r="R536" s="82" t="n"/>
      <c r="S536" s="82" t="n"/>
      <c r="T536" s="82" t="n"/>
      <c r="U536" s="82" t="n"/>
      <c r="V536" s="82" t="n"/>
      <c r="W536" s="82" t="n"/>
      <c r="X536" s="82" t="n"/>
      <c r="Y536" s="82" t="n"/>
      <c r="Z536" s="82" t="n"/>
      <c r="AA536" s="82" t="n"/>
      <c r="AB536" s="82" t="n"/>
      <c r="AC536" s="82" t="n"/>
      <c r="AD536" s="82" t="n"/>
      <c r="AE536" s="82" t="n"/>
      <c r="AF536" s="82" t="n"/>
      <c r="AG536" s="82" t="n"/>
      <c r="AH536" s="82" t="n"/>
      <c r="AI536" s="82" t="n"/>
      <c r="AJ536" s="82" t="n"/>
      <c r="AK536" s="82" t="n"/>
    </row>
    <row r="537">
      <c r="B537" s="84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82" t="n"/>
      <c r="M537" s="82" t="n"/>
      <c r="N537" s="82" t="n"/>
      <c r="O537" s="82" t="n"/>
      <c r="P537" s="82" t="n"/>
      <c r="Q537" s="82" t="n"/>
      <c r="R537" s="82" t="n"/>
      <c r="S537" s="82" t="n"/>
      <c r="T537" s="82" t="n"/>
      <c r="U537" s="82" t="n"/>
      <c r="V537" s="82" t="n"/>
      <c r="W537" s="82" t="n"/>
      <c r="X537" s="82" t="n"/>
      <c r="Y537" s="82" t="n"/>
      <c r="Z537" s="82" t="n"/>
      <c r="AA537" s="82" t="n"/>
      <c r="AB537" s="82" t="n"/>
      <c r="AC537" s="82" t="n"/>
      <c r="AD537" s="82" t="n"/>
      <c r="AE537" s="82" t="n"/>
      <c r="AF537" s="82" t="n"/>
      <c r="AG537" s="82" t="n"/>
      <c r="AH537" s="82" t="n"/>
      <c r="AI537" s="82" t="n"/>
      <c r="AJ537" s="82" t="n"/>
      <c r="AK537" s="82" t="n"/>
    </row>
    <row r="538">
      <c r="B538" s="84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82" t="n"/>
      <c r="M538" s="82" t="n"/>
      <c r="N538" s="82" t="n"/>
      <c r="O538" s="82" t="n"/>
      <c r="P538" s="82" t="n"/>
      <c r="Q538" s="82" t="n"/>
      <c r="R538" s="82" t="n"/>
      <c r="S538" s="82" t="n"/>
      <c r="T538" s="82" t="n"/>
      <c r="U538" s="82" t="n"/>
      <c r="V538" s="82" t="n"/>
      <c r="W538" s="82" t="n"/>
      <c r="X538" s="82" t="n"/>
      <c r="Y538" s="82" t="n"/>
      <c r="Z538" s="82" t="n"/>
      <c r="AA538" s="82" t="n"/>
      <c r="AB538" s="82" t="n"/>
      <c r="AC538" s="82" t="n"/>
      <c r="AD538" s="82" t="n"/>
      <c r="AE538" s="82" t="n"/>
      <c r="AF538" s="82" t="n"/>
      <c r="AG538" s="82" t="n"/>
      <c r="AH538" s="82" t="n"/>
      <c r="AI538" s="82" t="n"/>
      <c r="AJ538" s="82" t="n"/>
      <c r="AK538" s="82" t="n"/>
    </row>
    <row r="539">
      <c r="B539" s="84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82" t="n"/>
      <c r="M539" s="82" t="n"/>
      <c r="N539" s="82" t="n"/>
      <c r="O539" s="82" t="n"/>
      <c r="P539" s="82" t="n"/>
      <c r="Q539" s="82" t="n"/>
      <c r="R539" s="82" t="n"/>
      <c r="S539" s="82" t="n"/>
      <c r="T539" s="82" t="n"/>
      <c r="U539" s="82" t="n"/>
      <c r="V539" s="82" t="n"/>
      <c r="W539" s="82" t="n"/>
      <c r="X539" s="82" t="n"/>
      <c r="Y539" s="82" t="n"/>
      <c r="Z539" s="82" t="n"/>
      <c r="AA539" s="82" t="n"/>
      <c r="AB539" s="82" t="n"/>
      <c r="AC539" s="82" t="n"/>
      <c r="AD539" s="82" t="n"/>
      <c r="AE539" s="82" t="n"/>
      <c r="AF539" s="82" t="n"/>
      <c r="AG539" s="82" t="n"/>
      <c r="AH539" s="82" t="n"/>
      <c r="AI539" s="82" t="n"/>
      <c r="AJ539" s="82" t="n"/>
      <c r="AK539" s="82" t="n"/>
    </row>
    <row r="540">
      <c r="B540" s="84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82" t="n"/>
      <c r="M540" s="82" t="n"/>
      <c r="N540" s="82" t="n"/>
      <c r="O540" s="82" t="n"/>
      <c r="P540" s="82" t="n"/>
      <c r="Q540" s="82" t="n"/>
      <c r="R540" s="82" t="n"/>
      <c r="S540" s="82" t="n"/>
      <c r="T540" s="82" t="n"/>
      <c r="U540" s="82" t="n"/>
      <c r="V540" s="82" t="n"/>
      <c r="W540" s="82" t="n"/>
      <c r="X540" s="82" t="n"/>
      <c r="Y540" s="82" t="n"/>
      <c r="Z540" s="82" t="n"/>
      <c r="AA540" s="82" t="n"/>
      <c r="AB540" s="82" t="n"/>
      <c r="AC540" s="82" t="n"/>
      <c r="AD540" s="82" t="n"/>
      <c r="AE540" s="82" t="n"/>
      <c r="AF540" s="82" t="n"/>
      <c r="AG540" s="82" t="n"/>
      <c r="AH540" s="82" t="n"/>
      <c r="AI540" s="82" t="n"/>
      <c r="AJ540" s="82" t="n"/>
      <c r="AK540" s="82" t="n"/>
    </row>
    <row r="541">
      <c r="B541" s="84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82" t="n"/>
      <c r="M541" s="82" t="n"/>
      <c r="N541" s="82" t="n"/>
      <c r="O541" s="82" t="n"/>
      <c r="P541" s="82" t="n"/>
      <c r="Q541" s="82" t="n"/>
      <c r="R541" s="82" t="n"/>
      <c r="S541" s="82" t="n"/>
      <c r="T541" s="82" t="n"/>
      <c r="U541" s="82" t="n"/>
      <c r="V541" s="82" t="n"/>
      <c r="W541" s="82" t="n"/>
      <c r="X541" s="82" t="n"/>
      <c r="Y541" s="82" t="n"/>
      <c r="Z541" s="82" t="n"/>
      <c r="AA541" s="82" t="n"/>
      <c r="AB541" s="82" t="n"/>
      <c r="AC541" s="82" t="n"/>
      <c r="AD541" s="82" t="n"/>
      <c r="AE541" s="82" t="n"/>
      <c r="AF541" s="82" t="n"/>
      <c r="AG541" s="82" t="n"/>
      <c r="AH541" s="82" t="n"/>
      <c r="AI541" s="82" t="n"/>
      <c r="AJ541" s="82" t="n"/>
      <c r="AK541" s="82" t="n"/>
    </row>
    <row r="542">
      <c r="B542" s="84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82" t="n"/>
      <c r="M542" s="82" t="n"/>
      <c r="N542" s="82" t="n"/>
      <c r="O542" s="82" t="n"/>
      <c r="P542" s="82" t="n"/>
      <c r="Q542" s="82" t="n"/>
      <c r="R542" s="82" t="n"/>
      <c r="S542" s="82" t="n"/>
      <c r="T542" s="82" t="n"/>
      <c r="U542" s="82" t="n"/>
      <c r="V542" s="82" t="n"/>
      <c r="W542" s="82" t="n"/>
      <c r="X542" s="82" t="n"/>
      <c r="Y542" s="82" t="n"/>
      <c r="Z542" s="82" t="n"/>
      <c r="AA542" s="82" t="n"/>
      <c r="AB542" s="82" t="n"/>
      <c r="AC542" s="82" t="n"/>
      <c r="AD542" s="82" t="n"/>
      <c r="AE542" s="82" t="n"/>
      <c r="AF542" s="82" t="n"/>
      <c r="AG542" s="82" t="n"/>
      <c r="AH542" s="82" t="n"/>
      <c r="AI542" s="82" t="n"/>
      <c r="AJ542" s="82" t="n"/>
      <c r="AK542" s="82" t="n"/>
    </row>
    <row r="543">
      <c r="B543" s="84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82" t="n"/>
      <c r="M543" s="82" t="n"/>
      <c r="N543" s="82" t="n"/>
      <c r="O543" s="82" t="n"/>
      <c r="P543" s="82" t="n"/>
      <c r="Q543" s="82" t="n"/>
      <c r="R543" s="82" t="n"/>
      <c r="S543" s="82" t="n"/>
      <c r="T543" s="82" t="n"/>
      <c r="U543" s="82" t="n"/>
      <c r="V543" s="82" t="n"/>
      <c r="W543" s="82" t="n"/>
      <c r="X543" s="82" t="n"/>
      <c r="Y543" s="82" t="n"/>
      <c r="Z543" s="82" t="n"/>
      <c r="AA543" s="82" t="n"/>
      <c r="AB543" s="82" t="n"/>
      <c r="AC543" s="82" t="n"/>
      <c r="AD543" s="82" t="n"/>
      <c r="AE543" s="82" t="n"/>
      <c r="AF543" s="82" t="n"/>
      <c r="AG543" s="82" t="n"/>
      <c r="AH543" s="82" t="n"/>
      <c r="AI543" s="82" t="n"/>
      <c r="AJ543" s="82" t="n"/>
      <c r="AK543" s="82" t="n"/>
    </row>
    <row r="544">
      <c r="B544" s="84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82" t="n"/>
      <c r="M544" s="82" t="n"/>
      <c r="N544" s="82" t="n"/>
      <c r="O544" s="82" t="n"/>
      <c r="P544" s="82" t="n"/>
      <c r="Q544" s="82" t="n"/>
      <c r="R544" s="82" t="n"/>
      <c r="S544" s="82" t="n"/>
      <c r="T544" s="82" t="n"/>
      <c r="U544" s="82" t="n"/>
      <c r="V544" s="82" t="n"/>
      <c r="W544" s="82" t="n"/>
      <c r="X544" s="82" t="n"/>
      <c r="Y544" s="82" t="n"/>
      <c r="Z544" s="82" t="n"/>
      <c r="AA544" s="82" t="n"/>
      <c r="AB544" s="82" t="n"/>
      <c r="AC544" s="82" t="n"/>
      <c r="AD544" s="82" t="n"/>
      <c r="AE544" s="82" t="n"/>
      <c r="AF544" s="82" t="n"/>
      <c r="AG544" s="82" t="n"/>
      <c r="AH544" s="82" t="n"/>
      <c r="AI544" s="82" t="n"/>
      <c r="AJ544" s="82" t="n"/>
      <c r="AK544" s="82" t="n"/>
    </row>
    <row r="545">
      <c r="B545" s="84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82" t="n"/>
      <c r="M545" s="82" t="n"/>
      <c r="N545" s="82" t="n"/>
      <c r="O545" s="82" t="n"/>
      <c r="P545" s="82" t="n"/>
      <c r="Q545" s="82" t="n"/>
      <c r="R545" s="82" t="n"/>
      <c r="S545" s="82" t="n"/>
      <c r="T545" s="82" t="n"/>
      <c r="U545" s="82" t="n"/>
      <c r="V545" s="82" t="n"/>
      <c r="W545" s="82" t="n"/>
      <c r="X545" s="82" t="n"/>
      <c r="Y545" s="82" t="n"/>
      <c r="Z545" s="82" t="n"/>
      <c r="AA545" s="82" t="n"/>
      <c r="AB545" s="82" t="n"/>
      <c r="AC545" s="82" t="n"/>
      <c r="AD545" s="82" t="n"/>
      <c r="AE545" s="82" t="n"/>
      <c r="AF545" s="82" t="n"/>
      <c r="AG545" s="82" t="n"/>
      <c r="AH545" s="82" t="n"/>
      <c r="AI545" s="82" t="n"/>
      <c r="AJ545" s="82" t="n"/>
      <c r="AK545" s="82" t="n"/>
    </row>
    <row r="546">
      <c r="B546" s="84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82" t="n"/>
      <c r="M546" s="82" t="n"/>
      <c r="N546" s="82" t="n"/>
      <c r="O546" s="82" t="n"/>
      <c r="P546" s="82" t="n"/>
      <c r="Q546" s="82" t="n"/>
      <c r="R546" s="82" t="n"/>
      <c r="S546" s="82" t="n"/>
      <c r="T546" s="82" t="n"/>
      <c r="U546" s="82" t="n"/>
      <c r="V546" s="82" t="n"/>
      <c r="W546" s="82" t="n"/>
      <c r="X546" s="82" t="n"/>
      <c r="Y546" s="82" t="n"/>
      <c r="Z546" s="82" t="n"/>
      <c r="AA546" s="82" t="n"/>
      <c r="AB546" s="82" t="n"/>
      <c r="AC546" s="82" t="n"/>
      <c r="AD546" s="82" t="n"/>
      <c r="AE546" s="82" t="n"/>
      <c r="AF546" s="82" t="n"/>
      <c r="AG546" s="82" t="n"/>
      <c r="AH546" s="82" t="n"/>
      <c r="AI546" s="82" t="n"/>
      <c r="AJ546" s="82" t="n"/>
      <c r="AK546" s="82" t="n"/>
    </row>
    <row r="547">
      <c r="B547" s="84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82" t="n"/>
      <c r="M547" s="82" t="n"/>
      <c r="N547" s="82" t="n"/>
      <c r="O547" s="82" t="n"/>
      <c r="P547" s="82" t="n"/>
      <c r="Q547" s="82" t="n"/>
      <c r="R547" s="82" t="n"/>
      <c r="S547" s="82" t="n"/>
      <c r="T547" s="82" t="n"/>
      <c r="U547" s="82" t="n"/>
      <c r="V547" s="82" t="n"/>
      <c r="W547" s="82" t="n"/>
      <c r="X547" s="82" t="n"/>
      <c r="Y547" s="82" t="n"/>
      <c r="Z547" s="82" t="n"/>
      <c r="AA547" s="82" t="n"/>
      <c r="AB547" s="82" t="n"/>
      <c r="AC547" s="82" t="n"/>
      <c r="AD547" s="82" t="n"/>
      <c r="AE547" s="82" t="n"/>
      <c r="AF547" s="82" t="n"/>
      <c r="AG547" s="82" t="n"/>
      <c r="AH547" s="82" t="n"/>
      <c r="AI547" s="82" t="n"/>
      <c r="AJ547" s="82" t="n"/>
      <c r="AK547" s="82" t="n"/>
    </row>
    <row r="548">
      <c r="B548" s="84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82" t="n"/>
      <c r="M548" s="82" t="n"/>
      <c r="N548" s="82" t="n"/>
      <c r="O548" s="82" t="n"/>
      <c r="P548" s="82" t="n"/>
      <c r="Q548" s="82" t="n"/>
      <c r="R548" s="82" t="n"/>
      <c r="S548" s="82" t="n"/>
      <c r="T548" s="82" t="n"/>
      <c r="U548" s="82" t="n"/>
      <c r="V548" s="82" t="n"/>
      <c r="W548" s="82" t="n"/>
      <c r="X548" s="82" t="n"/>
      <c r="Y548" s="82" t="n"/>
      <c r="Z548" s="82" t="n"/>
      <c r="AA548" s="82" t="n"/>
      <c r="AB548" s="82" t="n"/>
      <c r="AC548" s="82" t="n"/>
      <c r="AD548" s="82" t="n"/>
      <c r="AE548" s="82" t="n"/>
      <c r="AF548" s="82" t="n"/>
      <c r="AG548" s="82" t="n"/>
      <c r="AH548" s="82" t="n"/>
      <c r="AI548" s="82" t="n"/>
      <c r="AJ548" s="82" t="n"/>
      <c r="AK548" s="82" t="n"/>
    </row>
    <row r="549">
      <c r="B549" s="84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82" t="n"/>
      <c r="M549" s="82" t="n"/>
      <c r="N549" s="82" t="n"/>
      <c r="O549" s="82" t="n"/>
      <c r="P549" s="82" t="n"/>
      <c r="Q549" s="82" t="n"/>
      <c r="R549" s="82" t="n"/>
      <c r="S549" s="82" t="n"/>
      <c r="T549" s="82" t="n"/>
      <c r="U549" s="82" t="n"/>
      <c r="V549" s="82" t="n"/>
      <c r="W549" s="82" t="n"/>
      <c r="X549" s="82" t="n"/>
      <c r="Y549" s="82" t="n"/>
      <c r="Z549" s="82" t="n"/>
      <c r="AA549" s="82" t="n"/>
      <c r="AB549" s="82" t="n"/>
      <c r="AC549" s="82" t="n"/>
      <c r="AD549" s="82" t="n"/>
      <c r="AE549" s="82" t="n"/>
      <c r="AF549" s="82" t="n"/>
      <c r="AG549" s="82" t="n"/>
      <c r="AH549" s="82" t="n"/>
      <c r="AI549" s="82" t="n"/>
      <c r="AJ549" s="82" t="n"/>
      <c r="AK549" s="82" t="n"/>
    </row>
    <row r="550">
      <c r="B550" s="84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82" t="n"/>
      <c r="M550" s="82" t="n"/>
      <c r="N550" s="82" t="n"/>
      <c r="O550" s="82" t="n"/>
      <c r="P550" s="82" t="n"/>
      <c r="Q550" s="82" t="n"/>
      <c r="R550" s="82" t="n"/>
      <c r="S550" s="82" t="n"/>
      <c r="T550" s="82" t="n"/>
      <c r="U550" s="82" t="n"/>
      <c r="V550" s="82" t="n"/>
      <c r="W550" s="82" t="n"/>
      <c r="X550" s="82" t="n"/>
      <c r="Y550" s="82" t="n"/>
      <c r="Z550" s="82" t="n"/>
      <c r="AA550" s="82" t="n"/>
      <c r="AB550" s="82" t="n"/>
      <c r="AC550" s="82" t="n"/>
      <c r="AD550" s="82" t="n"/>
      <c r="AE550" s="82" t="n"/>
      <c r="AF550" s="82" t="n"/>
      <c r="AG550" s="82" t="n"/>
      <c r="AH550" s="82" t="n"/>
      <c r="AI550" s="82" t="n"/>
      <c r="AJ550" s="82" t="n"/>
      <c r="AK550" s="82" t="n"/>
    </row>
    <row r="551">
      <c r="B551" s="84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82" t="n"/>
      <c r="M551" s="82" t="n"/>
      <c r="N551" s="82" t="n"/>
      <c r="O551" s="82" t="n"/>
      <c r="P551" s="82" t="n"/>
      <c r="Q551" s="82" t="n"/>
      <c r="R551" s="82" t="n"/>
      <c r="S551" s="82" t="n"/>
      <c r="T551" s="82" t="n"/>
      <c r="U551" s="82" t="n"/>
      <c r="V551" s="82" t="n"/>
      <c r="W551" s="82" t="n"/>
      <c r="X551" s="82" t="n"/>
      <c r="Y551" s="82" t="n"/>
      <c r="Z551" s="82" t="n"/>
      <c r="AA551" s="82" t="n"/>
      <c r="AB551" s="82" t="n"/>
      <c r="AC551" s="82" t="n"/>
      <c r="AD551" s="82" t="n"/>
      <c r="AE551" s="82" t="n"/>
      <c r="AF551" s="82" t="n"/>
      <c r="AG551" s="82" t="n"/>
      <c r="AH551" s="82" t="n"/>
      <c r="AI551" s="82" t="n"/>
      <c r="AJ551" s="82" t="n"/>
      <c r="AK551" s="82" t="n"/>
    </row>
    <row r="552">
      <c r="B552" s="84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82" t="n"/>
      <c r="M552" s="82" t="n"/>
      <c r="N552" s="82" t="n"/>
      <c r="O552" s="82" t="n"/>
      <c r="P552" s="82" t="n"/>
      <c r="Q552" s="82" t="n"/>
      <c r="R552" s="82" t="n"/>
      <c r="S552" s="82" t="n"/>
      <c r="T552" s="82" t="n"/>
      <c r="U552" s="82" t="n"/>
      <c r="V552" s="82" t="n"/>
      <c r="W552" s="82" t="n"/>
      <c r="X552" s="82" t="n"/>
      <c r="Y552" s="82" t="n"/>
      <c r="Z552" s="82" t="n"/>
      <c r="AA552" s="82" t="n"/>
      <c r="AB552" s="82" t="n"/>
      <c r="AC552" s="82" t="n"/>
      <c r="AD552" s="82" t="n"/>
      <c r="AE552" s="82" t="n"/>
      <c r="AF552" s="82" t="n"/>
      <c r="AG552" s="82" t="n"/>
      <c r="AH552" s="82" t="n"/>
      <c r="AI552" s="82" t="n"/>
      <c r="AJ552" s="82" t="n"/>
      <c r="AK552" s="82" t="n"/>
    </row>
    <row r="553">
      <c r="B553" s="84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82" t="n"/>
      <c r="M553" s="82" t="n"/>
      <c r="N553" s="82" t="n"/>
      <c r="O553" s="82" t="n"/>
      <c r="P553" s="82" t="n"/>
      <c r="Q553" s="82" t="n"/>
      <c r="R553" s="82" t="n"/>
      <c r="S553" s="82" t="n"/>
      <c r="T553" s="82" t="n"/>
      <c r="U553" s="82" t="n"/>
      <c r="V553" s="82" t="n"/>
      <c r="W553" s="82" t="n"/>
      <c r="X553" s="82" t="n"/>
      <c r="Y553" s="82" t="n"/>
      <c r="Z553" s="82" t="n"/>
      <c r="AA553" s="82" t="n"/>
      <c r="AB553" s="82" t="n"/>
      <c r="AC553" s="82" t="n"/>
      <c r="AD553" s="82" t="n"/>
      <c r="AE553" s="82" t="n"/>
      <c r="AF553" s="82" t="n"/>
      <c r="AG553" s="82" t="n"/>
      <c r="AH553" s="82" t="n"/>
      <c r="AI553" s="82" t="n"/>
      <c r="AJ553" s="82" t="n"/>
      <c r="AK553" s="82" t="n"/>
    </row>
    <row r="554">
      <c r="B554" s="84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82" t="n"/>
      <c r="M554" s="82" t="n"/>
      <c r="N554" s="82" t="n"/>
      <c r="O554" s="82" t="n"/>
      <c r="P554" s="82" t="n"/>
      <c r="Q554" s="82" t="n"/>
      <c r="R554" s="82" t="n"/>
      <c r="S554" s="82" t="n"/>
      <c r="T554" s="82" t="n"/>
      <c r="U554" s="82" t="n"/>
      <c r="V554" s="82" t="n"/>
      <c r="W554" s="82" t="n"/>
      <c r="X554" s="82" t="n"/>
      <c r="Y554" s="82" t="n"/>
      <c r="Z554" s="82" t="n"/>
      <c r="AA554" s="82" t="n"/>
      <c r="AB554" s="82" t="n"/>
      <c r="AC554" s="82" t="n"/>
      <c r="AD554" s="82" t="n"/>
      <c r="AE554" s="82" t="n"/>
      <c r="AF554" s="82" t="n"/>
      <c r="AG554" s="82" t="n"/>
      <c r="AH554" s="82" t="n"/>
      <c r="AI554" s="82" t="n"/>
      <c r="AJ554" s="82" t="n"/>
      <c r="AK554" s="82" t="n"/>
    </row>
    <row r="555">
      <c r="B555" s="84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82" t="n"/>
      <c r="M555" s="82" t="n"/>
      <c r="N555" s="82" t="n"/>
      <c r="O555" s="82" t="n"/>
      <c r="P555" s="82" t="n"/>
      <c r="Q555" s="82" t="n"/>
      <c r="R555" s="82" t="n"/>
      <c r="S555" s="82" t="n"/>
      <c r="T555" s="82" t="n"/>
      <c r="U555" s="82" t="n"/>
      <c r="V555" s="82" t="n"/>
      <c r="W555" s="82" t="n"/>
      <c r="X555" s="82" t="n"/>
      <c r="Y555" s="82" t="n"/>
      <c r="Z555" s="82" t="n"/>
      <c r="AA555" s="82" t="n"/>
      <c r="AB555" s="82" t="n"/>
      <c r="AC555" s="82" t="n"/>
      <c r="AD555" s="82" t="n"/>
      <c r="AE555" s="82" t="n"/>
      <c r="AF555" s="82" t="n"/>
      <c r="AG555" s="82" t="n"/>
      <c r="AH555" s="82" t="n"/>
      <c r="AI555" s="82" t="n"/>
      <c r="AJ555" s="82" t="n"/>
      <c r="AK555" s="82" t="n"/>
    </row>
    <row r="556">
      <c r="B556" s="84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82" t="n"/>
      <c r="M556" s="82" t="n"/>
      <c r="N556" s="82" t="n"/>
      <c r="O556" s="82" t="n"/>
      <c r="P556" s="82" t="n"/>
      <c r="Q556" s="82" t="n"/>
      <c r="R556" s="82" t="n"/>
      <c r="S556" s="82" t="n"/>
      <c r="T556" s="82" t="n"/>
      <c r="U556" s="82" t="n"/>
      <c r="V556" s="82" t="n"/>
      <c r="W556" s="82" t="n"/>
      <c r="X556" s="82" t="n"/>
      <c r="Y556" s="82" t="n"/>
      <c r="Z556" s="82" t="n"/>
      <c r="AA556" s="82" t="n"/>
      <c r="AB556" s="82" t="n"/>
      <c r="AC556" s="82" t="n"/>
      <c r="AD556" s="82" t="n"/>
      <c r="AE556" s="82" t="n"/>
      <c r="AF556" s="82" t="n"/>
      <c r="AG556" s="82" t="n"/>
      <c r="AH556" s="82" t="n"/>
      <c r="AI556" s="82" t="n"/>
      <c r="AJ556" s="82" t="n"/>
      <c r="AK556" s="82" t="n"/>
    </row>
    <row r="557">
      <c r="B557" s="84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82" t="n"/>
      <c r="M557" s="82" t="n"/>
      <c r="N557" s="82" t="n"/>
      <c r="O557" s="82" t="n"/>
      <c r="P557" s="82" t="n"/>
      <c r="Q557" s="82" t="n"/>
      <c r="R557" s="82" t="n"/>
      <c r="S557" s="82" t="n"/>
      <c r="T557" s="82" t="n"/>
      <c r="U557" s="82" t="n"/>
      <c r="V557" s="82" t="n"/>
      <c r="W557" s="82" t="n"/>
      <c r="X557" s="82" t="n"/>
      <c r="Y557" s="82" t="n"/>
      <c r="Z557" s="82" t="n"/>
      <c r="AA557" s="82" t="n"/>
      <c r="AB557" s="82" t="n"/>
      <c r="AC557" s="82" t="n"/>
      <c r="AD557" s="82" t="n"/>
      <c r="AE557" s="82" t="n"/>
      <c r="AF557" s="82" t="n"/>
      <c r="AG557" s="82" t="n"/>
      <c r="AH557" s="82" t="n"/>
      <c r="AI557" s="82" t="n"/>
      <c r="AJ557" s="82" t="n"/>
      <c r="AK557" s="82" t="n"/>
    </row>
    <row r="558">
      <c r="B558" s="84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82" t="n"/>
      <c r="M558" s="82" t="n"/>
      <c r="N558" s="82" t="n"/>
      <c r="O558" s="82" t="n"/>
      <c r="P558" s="82" t="n"/>
      <c r="Q558" s="82" t="n"/>
      <c r="R558" s="82" t="n"/>
      <c r="S558" s="82" t="n"/>
      <c r="T558" s="82" t="n"/>
      <c r="U558" s="82" t="n"/>
      <c r="V558" s="82" t="n"/>
      <c r="W558" s="82" t="n"/>
      <c r="X558" s="82" t="n"/>
      <c r="Y558" s="82" t="n"/>
      <c r="Z558" s="82" t="n"/>
      <c r="AA558" s="82" t="n"/>
      <c r="AB558" s="82" t="n"/>
      <c r="AC558" s="82" t="n"/>
      <c r="AD558" s="82" t="n"/>
      <c r="AE558" s="82" t="n"/>
      <c r="AF558" s="82" t="n"/>
      <c r="AG558" s="82" t="n"/>
      <c r="AH558" s="82" t="n"/>
      <c r="AI558" s="82" t="n"/>
      <c r="AJ558" s="82" t="n"/>
      <c r="AK558" s="82" t="n"/>
    </row>
    <row r="559">
      <c r="B559" s="84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82" t="n"/>
      <c r="M559" s="82" t="n"/>
      <c r="N559" s="82" t="n"/>
      <c r="O559" s="82" t="n"/>
      <c r="P559" s="82" t="n"/>
      <c r="Q559" s="82" t="n"/>
      <c r="R559" s="82" t="n"/>
      <c r="S559" s="82" t="n"/>
      <c r="T559" s="82" t="n"/>
      <c r="U559" s="82" t="n"/>
      <c r="V559" s="82" t="n"/>
      <c r="W559" s="82" t="n"/>
      <c r="X559" s="82" t="n"/>
      <c r="Y559" s="82" t="n"/>
      <c r="Z559" s="82" t="n"/>
      <c r="AA559" s="82" t="n"/>
      <c r="AB559" s="82" t="n"/>
      <c r="AC559" s="82" t="n"/>
      <c r="AD559" s="82" t="n"/>
      <c r="AE559" s="82" t="n"/>
      <c r="AF559" s="82" t="n"/>
      <c r="AG559" s="82" t="n"/>
      <c r="AH559" s="82" t="n"/>
      <c r="AI559" s="82" t="n"/>
      <c r="AJ559" s="82" t="n"/>
      <c r="AK559" s="82" t="n"/>
    </row>
    <row r="560">
      <c r="B560" s="84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82" t="n"/>
      <c r="M560" s="82" t="n"/>
      <c r="N560" s="82" t="n"/>
      <c r="O560" s="82" t="n"/>
      <c r="P560" s="82" t="n"/>
      <c r="Q560" s="82" t="n"/>
      <c r="R560" s="82" t="n"/>
      <c r="S560" s="82" t="n"/>
      <c r="T560" s="82" t="n"/>
      <c r="U560" s="82" t="n"/>
      <c r="V560" s="82" t="n"/>
      <c r="W560" s="82" t="n"/>
      <c r="X560" s="82" t="n"/>
      <c r="Y560" s="82" t="n"/>
      <c r="Z560" s="82" t="n"/>
      <c r="AA560" s="82" t="n"/>
      <c r="AB560" s="82" t="n"/>
      <c r="AC560" s="82" t="n"/>
      <c r="AD560" s="82" t="n"/>
      <c r="AE560" s="82" t="n"/>
      <c r="AF560" s="82" t="n"/>
      <c r="AG560" s="82" t="n"/>
      <c r="AH560" s="82" t="n"/>
      <c r="AI560" s="82" t="n"/>
      <c r="AJ560" s="82" t="n"/>
      <c r="AK560" s="82" t="n"/>
    </row>
    <row r="561">
      <c r="B561" s="84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82" t="n"/>
      <c r="M561" s="82" t="n"/>
      <c r="N561" s="82" t="n"/>
      <c r="O561" s="82" t="n"/>
      <c r="P561" s="82" t="n"/>
      <c r="Q561" s="82" t="n"/>
      <c r="R561" s="82" t="n"/>
      <c r="S561" s="82" t="n"/>
      <c r="T561" s="82" t="n"/>
      <c r="U561" s="82" t="n"/>
      <c r="V561" s="82" t="n"/>
      <c r="W561" s="82" t="n"/>
      <c r="X561" s="82" t="n"/>
      <c r="Y561" s="82" t="n"/>
      <c r="Z561" s="82" t="n"/>
      <c r="AA561" s="82" t="n"/>
      <c r="AB561" s="82" t="n"/>
      <c r="AC561" s="82" t="n"/>
      <c r="AD561" s="82" t="n"/>
      <c r="AE561" s="82" t="n"/>
      <c r="AF561" s="82" t="n"/>
      <c r="AG561" s="82" t="n"/>
      <c r="AH561" s="82" t="n"/>
      <c r="AI561" s="82" t="n"/>
      <c r="AJ561" s="82" t="n"/>
      <c r="AK561" s="82" t="n"/>
    </row>
    <row r="562">
      <c r="B562" s="84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82" t="n"/>
      <c r="M562" s="82" t="n"/>
      <c r="N562" s="82" t="n"/>
      <c r="O562" s="82" t="n"/>
      <c r="P562" s="82" t="n"/>
      <c r="Q562" s="82" t="n"/>
      <c r="R562" s="82" t="n"/>
      <c r="S562" s="82" t="n"/>
      <c r="T562" s="82" t="n"/>
      <c r="U562" s="82" t="n"/>
      <c r="V562" s="82" t="n"/>
      <c r="W562" s="82" t="n"/>
      <c r="X562" s="82" t="n"/>
      <c r="Y562" s="82" t="n"/>
      <c r="Z562" s="82" t="n"/>
      <c r="AA562" s="82" t="n"/>
      <c r="AB562" s="82" t="n"/>
      <c r="AC562" s="82" t="n"/>
      <c r="AD562" s="82" t="n"/>
      <c r="AE562" s="82" t="n"/>
      <c r="AF562" s="82" t="n"/>
      <c r="AG562" s="82" t="n"/>
      <c r="AH562" s="82" t="n"/>
      <c r="AI562" s="82" t="n"/>
      <c r="AJ562" s="82" t="n"/>
      <c r="AK562" s="82" t="n"/>
    </row>
    <row r="563">
      <c r="B563" s="84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82" t="n"/>
      <c r="M563" s="82" t="n"/>
      <c r="N563" s="82" t="n"/>
      <c r="O563" s="82" t="n"/>
      <c r="P563" s="82" t="n"/>
      <c r="Q563" s="82" t="n"/>
      <c r="R563" s="82" t="n"/>
      <c r="S563" s="82" t="n"/>
      <c r="T563" s="82" t="n"/>
      <c r="U563" s="82" t="n"/>
      <c r="V563" s="82" t="n"/>
      <c r="W563" s="82" t="n"/>
      <c r="X563" s="82" t="n"/>
      <c r="Y563" s="82" t="n"/>
      <c r="Z563" s="82" t="n"/>
      <c r="AA563" s="82" t="n"/>
      <c r="AB563" s="82" t="n"/>
      <c r="AC563" s="82" t="n"/>
      <c r="AD563" s="82" t="n"/>
      <c r="AE563" s="82" t="n"/>
      <c r="AF563" s="82" t="n"/>
      <c r="AG563" s="82" t="n"/>
      <c r="AH563" s="82" t="n"/>
      <c r="AI563" s="82" t="n"/>
      <c r="AJ563" s="82" t="n"/>
      <c r="AK563" s="82" t="n"/>
    </row>
    <row r="564">
      <c r="B564" s="84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82" t="n"/>
      <c r="M564" s="82" t="n"/>
      <c r="N564" s="82" t="n"/>
      <c r="O564" s="82" t="n"/>
      <c r="P564" s="82" t="n"/>
      <c r="Q564" s="82" t="n"/>
      <c r="R564" s="82" t="n"/>
      <c r="S564" s="82" t="n"/>
      <c r="T564" s="82" t="n"/>
      <c r="U564" s="82" t="n"/>
      <c r="V564" s="82" t="n"/>
      <c r="W564" s="82" t="n"/>
      <c r="X564" s="82" t="n"/>
      <c r="Y564" s="82" t="n"/>
      <c r="Z564" s="82" t="n"/>
      <c r="AA564" s="82" t="n"/>
      <c r="AB564" s="82" t="n"/>
      <c r="AC564" s="82" t="n"/>
      <c r="AD564" s="82" t="n"/>
      <c r="AE564" s="82" t="n"/>
      <c r="AF564" s="82" t="n"/>
      <c r="AG564" s="82" t="n"/>
      <c r="AH564" s="82" t="n"/>
      <c r="AI564" s="82" t="n"/>
      <c r="AJ564" s="82" t="n"/>
      <c r="AK564" s="82" t="n"/>
    </row>
    <row r="565">
      <c r="B565" s="84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82" t="n"/>
      <c r="M565" s="82" t="n"/>
      <c r="N565" s="82" t="n"/>
      <c r="O565" s="82" t="n"/>
      <c r="P565" s="82" t="n"/>
      <c r="Q565" s="82" t="n"/>
      <c r="R565" s="82" t="n"/>
      <c r="S565" s="82" t="n"/>
      <c r="T565" s="82" t="n"/>
      <c r="U565" s="82" t="n"/>
      <c r="V565" s="82" t="n"/>
      <c r="W565" s="82" t="n"/>
      <c r="X565" s="82" t="n"/>
      <c r="Y565" s="82" t="n"/>
      <c r="Z565" s="82" t="n"/>
      <c r="AA565" s="82" t="n"/>
      <c r="AB565" s="82" t="n"/>
      <c r="AC565" s="82" t="n"/>
      <c r="AD565" s="82" t="n"/>
      <c r="AE565" s="82" t="n"/>
      <c r="AF565" s="82" t="n"/>
      <c r="AG565" s="82" t="n"/>
      <c r="AH565" s="82" t="n"/>
      <c r="AI565" s="82" t="n"/>
      <c r="AJ565" s="82" t="n"/>
      <c r="AK565" s="82" t="n"/>
    </row>
    <row r="566">
      <c r="B566" s="84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82" t="n"/>
      <c r="M566" s="82" t="n"/>
      <c r="N566" s="82" t="n"/>
      <c r="O566" s="82" t="n"/>
      <c r="P566" s="82" t="n"/>
      <c r="Q566" s="82" t="n"/>
      <c r="R566" s="82" t="n"/>
      <c r="S566" s="82" t="n"/>
      <c r="T566" s="82" t="n"/>
      <c r="U566" s="82" t="n"/>
      <c r="V566" s="82" t="n"/>
      <c r="W566" s="82" t="n"/>
      <c r="X566" s="82" t="n"/>
      <c r="Y566" s="82" t="n"/>
      <c r="Z566" s="82" t="n"/>
      <c r="AA566" s="82" t="n"/>
      <c r="AB566" s="82" t="n"/>
      <c r="AC566" s="82" t="n"/>
      <c r="AD566" s="82" t="n"/>
      <c r="AE566" s="82" t="n"/>
      <c r="AF566" s="82" t="n"/>
      <c r="AG566" s="82" t="n"/>
      <c r="AH566" s="82" t="n"/>
      <c r="AI566" s="82" t="n"/>
      <c r="AJ566" s="82" t="n"/>
      <c r="AK566" s="82" t="n"/>
    </row>
    <row r="567">
      <c r="B567" s="84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82" t="n"/>
      <c r="M567" s="82" t="n"/>
      <c r="N567" s="82" t="n"/>
      <c r="O567" s="82" t="n"/>
      <c r="P567" s="82" t="n"/>
      <c r="Q567" s="82" t="n"/>
      <c r="R567" s="82" t="n"/>
      <c r="S567" s="82" t="n"/>
      <c r="T567" s="82" t="n"/>
      <c r="U567" s="82" t="n"/>
      <c r="V567" s="82" t="n"/>
      <c r="W567" s="82" t="n"/>
      <c r="X567" s="82" t="n"/>
      <c r="Y567" s="82" t="n"/>
      <c r="Z567" s="82" t="n"/>
      <c r="AA567" s="82" t="n"/>
      <c r="AB567" s="82" t="n"/>
      <c r="AC567" s="82" t="n"/>
      <c r="AD567" s="82" t="n"/>
      <c r="AE567" s="82" t="n"/>
      <c r="AF567" s="82" t="n"/>
      <c r="AG567" s="82" t="n"/>
      <c r="AH567" s="82" t="n"/>
      <c r="AI567" s="82" t="n"/>
      <c r="AJ567" s="82" t="n"/>
      <c r="AK567" s="82" t="n"/>
    </row>
    <row r="568">
      <c r="B568" s="84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82" t="n"/>
      <c r="M568" s="82" t="n"/>
      <c r="N568" s="82" t="n"/>
      <c r="O568" s="82" t="n"/>
      <c r="P568" s="82" t="n"/>
      <c r="Q568" s="82" t="n"/>
      <c r="R568" s="82" t="n"/>
      <c r="S568" s="82" t="n"/>
      <c r="T568" s="82" t="n"/>
      <c r="U568" s="82" t="n"/>
      <c r="V568" s="82" t="n"/>
      <c r="W568" s="82" t="n"/>
      <c r="X568" s="82" t="n"/>
      <c r="Y568" s="82" t="n"/>
      <c r="Z568" s="82" t="n"/>
      <c r="AA568" s="82" t="n"/>
      <c r="AB568" s="82" t="n"/>
      <c r="AC568" s="82" t="n"/>
      <c r="AD568" s="82" t="n"/>
      <c r="AE568" s="82" t="n"/>
      <c r="AF568" s="82" t="n"/>
      <c r="AG568" s="82" t="n"/>
      <c r="AH568" s="82" t="n"/>
      <c r="AI568" s="82" t="n"/>
      <c r="AJ568" s="82" t="n"/>
      <c r="AK568" s="82" t="n"/>
    </row>
    <row r="569">
      <c r="B569" s="84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82" t="n"/>
      <c r="M569" s="82" t="n"/>
      <c r="N569" s="82" t="n"/>
      <c r="O569" s="82" t="n"/>
      <c r="P569" s="82" t="n"/>
      <c r="Q569" s="82" t="n"/>
      <c r="R569" s="82" t="n"/>
      <c r="S569" s="82" t="n"/>
      <c r="T569" s="82" t="n"/>
      <c r="U569" s="82" t="n"/>
      <c r="V569" s="82" t="n"/>
      <c r="W569" s="82" t="n"/>
      <c r="X569" s="82" t="n"/>
      <c r="Y569" s="82" t="n"/>
      <c r="Z569" s="82" t="n"/>
      <c r="AA569" s="82" t="n"/>
      <c r="AB569" s="82" t="n"/>
      <c r="AC569" s="82" t="n"/>
      <c r="AD569" s="82" t="n"/>
      <c r="AE569" s="82" t="n"/>
      <c r="AF569" s="82" t="n"/>
      <c r="AG569" s="82" t="n"/>
      <c r="AH569" s="82" t="n"/>
      <c r="AI569" s="82" t="n"/>
      <c r="AJ569" s="82" t="n"/>
      <c r="AK569" s="82" t="n"/>
    </row>
    <row r="570">
      <c r="B570" s="84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82" t="n"/>
      <c r="M570" s="82" t="n"/>
      <c r="N570" s="82" t="n"/>
      <c r="O570" s="82" t="n"/>
      <c r="P570" s="82" t="n"/>
      <c r="Q570" s="82" t="n"/>
      <c r="R570" s="82" t="n"/>
      <c r="S570" s="82" t="n"/>
      <c r="T570" s="82" t="n"/>
      <c r="U570" s="82" t="n"/>
      <c r="V570" s="82" t="n"/>
      <c r="W570" s="82" t="n"/>
      <c r="X570" s="82" t="n"/>
      <c r="Y570" s="82" t="n"/>
      <c r="Z570" s="82" t="n"/>
      <c r="AA570" s="82" t="n"/>
      <c r="AB570" s="82" t="n"/>
      <c r="AC570" s="82" t="n"/>
      <c r="AD570" s="82" t="n"/>
      <c r="AE570" s="82" t="n"/>
      <c r="AF570" s="82" t="n"/>
      <c r="AG570" s="82" t="n"/>
      <c r="AH570" s="82" t="n"/>
      <c r="AI570" s="82" t="n"/>
      <c r="AJ570" s="82" t="n"/>
      <c r="AK570" s="82" t="n"/>
    </row>
    <row r="571">
      <c r="B571" s="84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82" t="n"/>
      <c r="M571" s="82" t="n"/>
      <c r="N571" s="82" t="n"/>
      <c r="O571" s="82" t="n"/>
      <c r="P571" s="82" t="n"/>
      <c r="Q571" s="82" t="n"/>
      <c r="R571" s="82" t="n"/>
      <c r="S571" s="82" t="n"/>
      <c r="T571" s="82" t="n"/>
      <c r="U571" s="82" t="n"/>
      <c r="V571" s="82" t="n"/>
      <c r="W571" s="82" t="n"/>
      <c r="X571" s="82" t="n"/>
      <c r="Y571" s="82" t="n"/>
      <c r="Z571" s="82" t="n"/>
      <c r="AA571" s="82" t="n"/>
      <c r="AB571" s="82" t="n"/>
      <c r="AC571" s="82" t="n"/>
      <c r="AD571" s="82" t="n"/>
      <c r="AE571" s="82" t="n"/>
      <c r="AF571" s="82" t="n"/>
      <c r="AG571" s="82" t="n"/>
      <c r="AH571" s="82" t="n"/>
      <c r="AI571" s="82" t="n"/>
      <c r="AJ571" s="82" t="n"/>
      <c r="AK571" s="82" t="n"/>
    </row>
    <row r="572">
      <c r="B572" s="84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82" t="n"/>
      <c r="M572" s="82" t="n"/>
      <c r="N572" s="82" t="n"/>
      <c r="O572" s="82" t="n"/>
      <c r="P572" s="82" t="n"/>
      <c r="Q572" s="82" t="n"/>
      <c r="R572" s="82" t="n"/>
      <c r="S572" s="82" t="n"/>
      <c r="T572" s="82" t="n"/>
      <c r="U572" s="82" t="n"/>
      <c r="V572" s="82" t="n"/>
      <c r="W572" s="82" t="n"/>
      <c r="X572" s="82" t="n"/>
      <c r="Y572" s="82" t="n"/>
      <c r="Z572" s="82" t="n"/>
      <c r="AA572" s="82" t="n"/>
      <c r="AB572" s="82" t="n"/>
      <c r="AC572" s="82" t="n"/>
      <c r="AD572" s="82" t="n"/>
      <c r="AE572" s="82" t="n"/>
      <c r="AF572" s="82" t="n"/>
      <c r="AG572" s="82" t="n"/>
      <c r="AH572" s="82" t="n"/>
      <c r="AI572" s="82" t="n"/>
      <c r="AJ572" s="82" t="n"/>
      <c r="AK572" s="82" t="n"/>
    </row>
    <row r="573">
      <c r="B573" s="84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82" t="n"/>
      <c r="M573" s="82" t="n"/>
      <c r="N573" s="82" t="n"/>
      <c r="O573" s="82" t="n"/>
      <c r="P573" s="82" t="n"/>
      <c r="Q573" s="82" t="n"/>
      <c r="R573" s="82" t="n"/>
      <c r="S573" s="82" t="n"/>
      <c r="T573" s="82" t="n"/>
      <c r="U573" s="82" t="n"/>
      <c r="V573" s="82" t="n"/>
      <c r="W573" s="82" t="n"/>
      <c r="X573" s="82" t="n"/>
      <c r="Y573" s="82" t="n"/>
      <c r="Z573" s="82" t="n"/>
      <c r="AA573" s="82" t="n"/>
      <c r="AB573" s="82" t="n"/>
      <c r="AC573" s="82" t="n"/>
      <c r="AD573" s="82" t="n"/>
      <c r="AE573" s="82" t="n"/>
      <c r="AF573" s="82" t="n"/>
      <c r="AG573" s="82" t="n"/>
      <c r="AH573" s="82" t="n"/>
      <c r="AI573" s="82" t="n"/>
      <c r="AJ573" s="82" t="n"/>
      <c r="AK573" s="82" t="n"/>
    </row>
    <row r="574">
      <c r="B574" s="84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82" t="n"/>
      <c r="M574" s="82" t="n"/>
      <c r="N574" s="82" t="n"/>
      <c r="O574" s="82" t="n"/>
      <c r="P574" s="82" t="n"/>
      <c r="Q574" s="82" t="n"/>
      <c r="R574" s="82" t="n"/>
      <c r="S574" s="82" t="n"/>
      <c r="T574" s="82" t="n"/>
      <c r="U574" s="82" t="n"/>
      <c r="V574" s="82" t="n"/>
      <c r="W574" s="82" t="n"/>
      <c r="X574" s="82" t="n"/>
      <c r="Y574" s="82" t="n"/>
      <c r="Z574" s="82" t="n"/>
      <c r="AA574" s="82" t="n"/>
      <c r="AB574" s="82" t="n"/>
      <c r="AC574" s="82" t="n"/>
      <c r="AD574" s="82" t="n"/>
      <c r="AE574" s="82" t="n"/>
      <c r="AF574" s="82" t="n"/>
      <c r="AG574" s="82" t="n"/>
      <c r="AH574" s="82" t="n"/>
      <c r="AI574" s="82" t="n"/>
      <c r="AJ574" s="82" t="n"/>
      <c r="AK574" s="82" t="n"/>
    </row>
    <row r="575">
      <c r="B575" s="84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82" t="n"/>
      <c r="M575" s="82" t="n"/>
      <c r="N575" s="82" t="n"/>
      <c r="O575" s="82" t="n"/>
      <c r="P575" s="82" t="n"/>
      <c r="Q575" s="82" t="n"/>
      <c r="R575" s="82" t="n"/>
      <c r="S575" s="82" t="n"/>
      <c r="T575" s="82" t="n"/>
      <c r="U575" s="82" t="n"/>
      <c r="V575" s="82" t="n"/>
      <c r="W575" s="82" t="n"/>
      <c r="X575" s="82" t="n"/>
      <c r="Y575" s="82" t="n"/>
      <c r="Z575" s="82" t="n"/>
      <c r="AA575" s="82" t="n"/>
      <c r="AB575" s="82" t="n"/>
      <c r="AC575" s="82" t="n"/>
      <c r="AD575" s="82" t="n"/>
      <c r="AE575" s="82" t="n"/>
      <c r="AF575" s="82" t="n"/>
      <c r="AG575" s="82" t="n"/>
      <c r="AH575" s="82" t="n"/>
      <c r="AI575" s="82" t="n"/>
      <c r="AJ575" s="82" t="n"/>
      <c r="AK575" s="82" t="n"/>
    </row>
    <row r="576">
      <c r="B576" s="84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82" t="n"/>
      <c r="M576" s="82" t="n"/>
      <c r="N576" s="82" t="n"/>
      <c r="O576" s="82" t="n"/>
      <c r="P576" s="82" t="n"/>
      <c r="Q576" s="82" t="n"/>
      <c r="R576" s="82" t="n"/>
      <c r="S576" s="82" t="n"/>
      <c r="T576" s="82" t="n"/>
      <c r="U576" s="82" t="n"/>
      <c r="V576" s="82" t="n"/>
      <c r="W576" s="82" t="n"/>
      <c r="X576" s="82" t="n"/>
      <c r="Y576" s="82" t="n"/>
      <c r="Z576" s="82" t="n"/>
      <c r="AA576" s="82" t="n"/>
      <c r="AB576" s="82" t="n"/>
      <c r="AC576" s="82" t="n"/>
      <c r="AD576" s="82" t="n"/>
      <c r="AE576" s="82" t="n"/>
      <c r="AF576" s="82" t="n"/>
      <c r="AG576" s="82" t="n"/>
      <c r="AH576" s="82" t="n"/>
      <c r="AI576" s="82" t="n"/>
      <c r="AJ576" s="82" t="n"/>
      <c r="AK576" s="82" t="n"/>
    </row>
    <row r="577">
      <c r="B577" s="84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82" t="n"/>
      <c r="M577" s="82" t="n"/>
      <c r="N577" s="82" t="n"/>
      <c r="O577" s="82" t="n"/>
      <c r="P577" s="82" t="n"/>
      <c r="Q577" s="82" t="n"/>
      <c r="R577" s="82" t="n"/>
      <c r="S577" s="82" t="n"/>
      <c r="T577" s="82" t="n"/>
      <c r="U577" s="82" t="n"/>
      <c r="V577" s="82" t="n"/>
      <c r="W577" s="82" t="n"/>
      <c r="X577" s="82" t="n"/>
      <c r="Y577" s="82" t="n"/>
      <c r="Z577" s="82" t="n"/>
      <c r="AA577" s="82" t="n"/>
      <c r="AB577" s="82" t="n"/>
      <c r="AC577" s="82" t="n"/>
      <c r="AD577" s="82" t="n"/>
      <c r="AE577" s="82" t="n"/>
      <c r="AF577" s="82" t="n"/>
      <c r="AG577" s="82" t="n"/>
      <c r="AH577" s="82" t="n"/>
      <c r="AI577" s="82" t="n"/>
      <c r="AJ577" s="82" t="n"/>
      <c r="AK577" s="82" t="n"/>
    </row>
    <row r="578">
      <c r="B578" s="84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82" t="n"/>
      <c r="M578" s="82" t="n"/>
      <c r="N578" s="82" t="n"/>
      <c r="O578" s="82" t="n"/>
      <c r="P578" s="82" t="n"/>
      <c r="Q578" s="82" t="n"/>
      <c r="R578" s="82" t="n"/>
      <c r="S578" s="82" t="n"/>
      <c r="T578" s="82" t="n"/>
      <c r="U578" s="82" t="n"/>
      <c r="V578" s="82" t="n"/>
      <c r="W578" s="82" t="n"/>
      <c r="X578" s="82" t="n"/>
      <c r="Y578" s="82" t="n"/>
      <c r="Z578" s="82" t="n"/>
      <c r="AA578" s="82" t="n"/>
      <c r="AB578" s="82" t="n"/>
      <c r="AC578" s="82" t="n"/>
      <c r="AD578" s="82" t="n"/>
      <c r="AE578" s="82" t="n"/>
      <c r="AF578" s="82" t="n"/>
      <c r="AG578" s="82" t="n"/>
      <c r="AH578" s="82" t="n"/>
      <c r="AI578" s="82" t="n"/>
      <c r="AJ578" s="82" t="n"/>
      <c r="AK578" s="82" t="n"/>
    </row>
    <row r="579">
      <c r="B579" s="84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82" t="n"/>
      <c r="M579" s="82" t="n"/>
      <c r="N579" s="82" t="n"/>
      <c r="O579" s="82" t="n"/>
      <c r="P579" s="82" t="n"/>
      <c r="Q579" s="82" t="n"/>
      <c r="R579" s="82" t="n"/>
      <c r="S579" s="82" t="n"/>
      <c r="T579" s="82" t="n"/>
      <c r="U579" s="82" t="n"/>
      <c r="V579" s="82" t="n"/>
      <c r="W579" s="82" t="n"/>
      <c r="X579" s="82" t="n"/>
      <c r="Y579" s="82" t="n"/>
      <c r="Z579" s="82" t="n"/>
      <c r="AA579" s="82" t="n"/>
      <c r="AB579" s="82" t="n"/>
      <c r="AC579" s="82" t="n"/>
      <c r="AD579" s="82" t="n"/>
      <c r="AE579" s="82" t="n"/>
      <c r="AF579" s="82" t="n"/>
      <c r="AG579" s="82" t="n"/>
      <c r="AH579" s="82" t="n"/>
      <c r="AI579" s="82" t="n"/>
      <c r="AJ579" s="82" t="n"/>
      <c r="AK579" s="82" t="n"/>
    </row>
    <row r="580">
      <c r="B580" s="84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82" t="n"/>
      <c r="M580" s="82" t="n"/>
      <c r="N580" s="82" t="n"/>
      <c r="O580" s="82" t="n"/>
      <c r="P580" s="82" t="n"/>
      <c r="Q580" s="82" t="n"/>
      <c r="R580" s="82" t="n"/>
      <c r="S580" s="82" t="n"/>
      <c r="T580" s="82" t="n"/>
      <c r="U580" s="82" t="n"/>
      <c r="V580" s="82" t="n"/>
      <c r="W580" s="82" t="n"/>
      <c r="X580" s="82" t="n"/>
      <c r="Y580" s="82" t="n"/>
      <c r="Z580" s="82" t="n"/>
      <c r="AA580" s="82" t="n"/>
      <c r="AB580" s="82" t="n"/>
      <c r="AC580" s="82" t="n"/>
      <c r="AD580" s="82" t="n"/>
      <c r="AE580" s="82" t="n"/>
      <c r="AF580" s="82" t="n"/>
      <c r="AG580" s="82" t="n"/>
      <c r="AH580" s="82" t="n"/>
      <c r="AI580" s="82" t="n"/>
      <c r="AJ580" s="82" t="n"/>
      <c r="AK580" s="82" t="n"/>
    </row>
    <row r="581">
      <c r="B581" s="84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82" t="n"/>
      <c r="M581" s="82" t="n"/>
      <c r="N581" s="82" t="n"/>
      <c r="O581" s="82" t="n"/>
      <c r="P581" s="82" t="n"/>
      <c r="Q581" s="82" t="n"/>
      <c r="R581" s="82" t="n"/>
      <c r="S581" s="82" t="n"/>
      <c r="T581" s="82" t="n"/>
      <c r="U581" s="82" t="n"/>
      <c r="V581" s="82" t="n"/>
      <c r="W581" s="82" t="n"/>
      <c r="X581" s="82" t="n"/>
      <c r="Y581" s="82" t="n"/>
      <c r="Z581" s="82" t="n"/>
      <c r="AA581" s="82" t="n"/>
      <c r="AB581" s="82" t="n"/>
      <c r="AC581" s="82" t="n"/>
      <c r="AD581" s="82" t="n"/>
      <c r="AE581" s="82" t="n"/>
      <c r="AF581" s="82" t="n"/>
      <c r="AG581" s="82" t="n"/>
      <c r="AH581" s="82" t="n"/>
      <c r="AI581" s="82" t="n"/>
      <c r="AJ581" s="82" t="n"/>
      <c r="AK581" s="82" t="n"/>
    </row>
    <row r="582">
      <c r="B582" s="84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82" t="n"/>
      <c r="M582" s="82" t="n"/>
      <c r="N582" s="82" t="n"/>
      <c r="O582" s="82" t="n"/>
      <c r="P582" s="82" t="n"/>
      <c r="Q582" s="82" t="n"/>
      <c r="R582" s="82" t="n"/>
      <c r="S582" s="82" t="n"/>
      <c r="T582" s="82" t="n"/>
      <c r="U582" s="82" t="n"/>
      <c r="V582" s="82" t="n"/>
      <c r="W582" s="82" t="n"/>
      <c r="X582" s="82" t="n"/>
      <c r="Y582" s="82" t="n"/>
      <c r="Z582" s="82" t="n"/>
      <c r="AA582" s="82" t="n"/>
      <c r="AB582" s="82" t="n"/>
      <c r="AC582" s="82" t="n"/>
      <c r="AD582" s="82" t="n"/>
      <c r="AE582" s="82" t="n"/>
      <c r="AF582" s="82" t="n"/>
      <c r="AG582" s="82" t="n"/>
      <c r="AH582" s="82" t="n"/>
      <c r="AI582" s="82" t="n"/>
      <c r="AJ582" s="82" t="n"/>
      <c r="AK582" s="82" t="n"/>
    </row>
    <row r="583">
      <c r="B583" s="84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82" t="n"/>
      <c r="M583" s="82" t="n"/>
      <c r="N583" s="82" t="n"/>
      <c r="O583" s="82" t="n"/>
      <c r="P583" s="82" t="n"/>
      <c r="Q583" s="82" t="n"/>
      <c r="R583" s="82" t="n"/>
      <c r="S583" s="82" t="n"/>
      <c r="T583" s="82" t="n"/>
      <c r="U583" s="82" t="n"/>
      <c r="V583" s="82" t="n"/>
      <c r="W583" s="82" t="n"/>
      <c r="X583" s="82" t="n"/>
      <c r="Y583" s="82" t="n"/>
      <c r="Z583" s="82" t="n"/>
      <c r="AA583" s="82" t="n"/>
      <c r="AB583" s="82" t="n"/>
      <c r="AC583" s="82" t="n"/>
      <c r="AD583" s="82" t="n"/>
      <c r="AE583" s="82" t="n"/>
      <c r="AF583" s="82" t="n"/>
      <c r="AG583" s="82" t="n"/>
      <c r="AH583" s="82" t="n"/>
      <c r="AI583" s="82" t="n"/>
      <c r="AJ583" s="82" t="n"/>
      <c r="AK583" s="82" t="n"/>
    </row>
    <row r="584">
      <c r="B584" s="84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82" t="n"/>
      <c r="M584" s="82" t="n"/>
      <c r="N584" s="82" t="n"/>
      <c r="O584" s="82" t="n"/>
      <c r="P584" s="82" t="n"/>
      <c r="Q584" s="82" t="n"/>
      <c r="R584" s="82" t="n"/>
      <c r="S584" s="82" t="n"/>
      <c r="T584" s="82" t="n"/>
      <c r="U584" s="82" t="n"/>
      <c r="V584" s="82" t="n"/>
      <c r="W584" s="82" t="n"/>
      <c r="X584" s="82" t="n"/>
      <c r="Y584" s="82" t="n"/>
      <c r="Z584" s="82" t="n"/>
      <c r="AA584" s="82" t="n"/>
      <c r="AB584" s="82" t="n"/>
      <c r="AC584" s="82" t="n"/>
      <c r="AD584" s="82" t="n"/>
      <c r="AE584" s="82" t="n"/>
      <c r="AF584" s="82" t="n"/>
      <c r="AG584" s="82" t="n"/>
      <c r="AH584" s="82" t="n"/>
      <c r="AI584" s="82" t="n"/>
      <c r="AJ584" s="82" t="n"/>
      <c r="AK584" s="82" t="n"/>
    </row>
    <row r="585">
      <c r="B585" s="84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82" t="n"/>
      <c r="M585" s="82" t="n"/>
      <c r="N585" s="82" t="n"/>
      <c r="O585" s="82" t="n"/>
      <c r="P585" s="82" t="n"/>
      <c r="Q585" s="82" t="n"/>
      <c r="R585" s="82" t="n"/>
      <c r="S585" s="82" t="n"/>
      <c r="T585" s="82" t="n"/>
      <c r="U585" s="82" t="n"/>
      <c r="V585" s="82" t="n"/>
      <c r="W585" s="82" t="n"/>
      <c r="X585" s="82" t="n"/>
      <c r="Y585" s="82" t="n"/>
      <c r="Z585" s="82" t="n"/>
      <c r="AA585" s="82" t="n"/>
      <c r="AB585" s="82" t="n"/>
      <c r="AC585" s="82" t="n"/>
      <c r="AD585" s="82" t="n"/>
      <c r="AE585" s="82" t="n"/>
      <c r="AF585" s="82" t="n"/>
      <c r="AG585" s="82" t="n"/>
      <c r="AH585" s="82" t="n"/>
      <c r="AI585" s="82" t="n"/>
      <c r="AJ585" s="82" t="n"/>
      <c r="AK585" s="82" t="n"/>
    </row>
    <row r="586">
      <c r="B586" s="84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82" t="n"/>
      <c r="M586" s="82" t="n"/>
      <c r="N586" s="82" t="n"/>
      <c r="O586" s="82" t="n"/>
      <c r="P586" s="82" t="n"/>
      <c r="Q586" s="82" t="n"/>
      <c r="R586" s="82" t="n"/>
      <c r="S586" s="82" t="n"/>
      <c r="T586" s="82" t="n"/>
      <c r="U586" s="82" t="n"/>
      <c r="V586" s="82" t="n"/>
      <c r="W586" s="82" t="n"/>
      <c r="X586" s="82" t="n"/>
      <c r="Y586" s="82" t="n"/>
      <c r="Z586" s="82" t="n"/>
      <c r="AA586" s="82" t="n"/>
      <c r="AB586" s="82" t="n"/>
      <c r="AC586" s="82" t="n"/>
      <c r="AD586" s="82" t="n"/>
      <c r="AE586" s="82" t="n"/>
      <c r="AF586" s="82" t="n"/>
      <c r="AG586" s="82" t="n"/>
      <c r="AH586" s="82" t="n"/>
      <c r="AI586" s="82" t="n"/>
      <c r="AJ586" s="82" t="n"/>
      <c r="AK586" s="82" t="n"/>
    </row>
    <row r="587">
      <c r="B587" s="84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82" t="n"/>
      <c r="M587" s="82" t="n"/>
      <c r="N587" s="82" t="n"/>
      <c r="O587" s="82" t="n"/>
      <c r="P587" s="82" t="n"/>
      <c r="Q587" s="82" t="n"/>
      <c r="R587" s="82" t="n"/>
      <c r="S587" s="82" t="n"/>
      <c r="T587" s="82" t="n"/>
      <c r="U587" s="82" t="n"/>
      <c r="V587" s="82" t="n"/>
      <c r="W587" s="82" t="n"/>
      <c r="X587" s="82" t="n"/>
      <c r="Y587" s="82" t="n"/>
      <c r="Z587" s="82" t="n"/>
      <c r="AA587" s="82" t="n"/>
      <c r="AB587" s="82" t="n"/>
      <c r="AC587" s="82" t="n"/>
      <c r="AD587" s="82" t="n"/>
      <c r="AE587" s="82" t="n"/>
      <c r="AF587" s="82" t="n"/>
      <c r="AG587" s="82" t="n"/>
      <c r="AH587" s="82" t="n"/>
      <c r="AI587" s="82" t="n"/>
      <c r="AJ587" s="82" t="n"/>
      <c r="AK587" s="82" t="n"/>
    </row>
    <row r="588">
      <c r="B588" s="84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82" t="n"/>
      <c r="M588" s="82" t="n"/>
      <c r="N588" s="82" t="n"/>
      <c r="O588" s="82" t="n"/>
      <c r="P588" s="82" t="n"/>
      <c r="Q588" s="82" t="n"/>
      <c r="R588" s="82" t="n"/>
      <c r="S588" s="82" t="n"/>
      <c r="T588" s="82" t="n"/>
      <c r="U588" s="82" t="n"/>
      <c r="V588" s="82" t="n"/>
      <c r="W588" s="82" t="n"/>
      <c r="X588" s="82" t="n"/>
      <c r="Y588" s="82" t="n"/>
      <c r="Z588" s="82" t="n"/>
      <c r="AA588" s="82" t="n"/>
      <c r="AB588" s="82" t="n"/>
      <c r="AC588" s="82" t="n"/>
      <c r="AD588" s="82" t="n"/>
      <c r="AE588" s="82" t="n"/>
      <c r="AF588" s="82" t="n"/>
      <c r="AG588" s="82" t="n"/>
      <c r="AH588" s="82" t="n"/>
      <c r="AI588" s="82" t="n"/>
      <c r="AJ588" s="82" t="n"/>
      <c r="AK588" s="82" t="n"/>
    </row>
    <row r="589">
      <c r="B589" s="84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82" t="n"/>
      <c r="M589" s="82" t="n"/>
      <c r="N589" s="82" t="n"/>
      <c r="O589" s="82" t="n"/>
      <c r="P589" s="82" t="n"/>
      <c r="Q589" s="82" t="n"/>
      <c r="R589" s="82" t="n"/>
      <c r="S589" s="82" t="n"/>
      <c r="T589" s="82" t="n"/>
      <c r="U589" s="82" t="n"/>
      <c r="V589" s="82" t="n"/>
      <c r="W589" s="82" t="n"/>
      <c r="X589" s="82" t="n"/>
      <c r="Y589" s="82" t="n"/>
      <c r="Z589" s="82" t="n"/>
      <c r="AA589" s="82" t="n"/>
      <c r="AB589" s="82" t="n"/>
      <c r="AC589" s="82" t="n"/>
      <c r="AD589" s="82" t="n"/>
      <c r="AE589" s="82" t="n"/>
      <c r="AF589" s="82" t="n"/>
      <c r="AG589" s="82" t="n"/>
      <c r="AH589" s="82" t="n"/>
      <c r="AI589" s="82" t="n"/>
      <c r="AJ589" s="82" t="n"/>
      <c r="AK589" s="82" t="n"/>
    </row>
    <row r="590">
      <c r="B590" s="84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82" t="n"/>
      <c r="M590" s="82" t="n"/>
      <c r="N590" s="82" t="n"/>
      <c r="O590" s="82" t="n"/>
      <c r="P590" s="82" t="n"/>
      <c r="Q590" s="82" t="n"/>
      <c r="R590" s="82" t="n"/>
      <c r="S590" s="82" t="n"/>
      <c r="T590" s="82" t="n"/>
      <c r="U590" s="82" t="n"/>
      <c r="V590" s="82" t="n"/>
      <c r="W590" s="82" t="n"/>
      <c r="X590" s="82" t="n"/>
      <c r="Y590" s="82" t="n"/>
      <c r="Z590" s="82" t="n"/>
      <c r="AA590" s="82" t="n"/>
      <c r="AB590" s="82" t="n"/>
      <c r="AC590" s="82" t="n"/>
      <c r="AD590" s="82" t="n"/>
      <c r="AE590" s="82" t="n"/>
      <c r="AF590" s="82" t="n"/>
      <c r="AG590" s="82" t="n"/>
      <c r="AH590" s="82" t="n"/>
      <c r="AI590" s="82" t="n"/>
      <c r="AJ590" s="82" t="n"/>
      <c r="AK590" s="82" t="n"/>
    </row>
    <row r="591">
      <c r="B591" s="84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82" t="n"/>
      <c r="M591" s="82" t="n"/>
      <c r="N591" s="82" t="n"/>
      <c r="O591" s="82" t="n"/>
      <c r="P591" s="82" t="n"/>
      <c r="Q591" s="82" t="n"/>
      <c r="R591" s="82" t="n"/>
      <c r="S591" s="82" t="n"/>
      <c r="T591" s="82" t="n"/>
      <c r="U591" s="82" t="n"/>
      <c r="V591" s="82" t="n"/>
      <c r="W591" s="82" t="n"/>
      <c r="X591" s="82" t="n"/>
      <c r="Y591" s="82" t="n"/>
      <c r="Z591" s="82" t="n"/>
      <c r="AA591" s="82" t="n"/>
      <c r="AB591" s="82" t="n"/>
      <c r="AC591" s="82" t="n"/>
      <c r="AD591" s="82" t="n"/>
      <c r="AE591" s="82" t="n"/>
      <c r="AF591" s="82" t="n"/>
      <c r="AG591" s="82" t="n"/>
      <c r="AH591" s="82" t="n"/>
      <c r="AI591" s="82" t="n"/>
      <c r="AJ591" s="82" t="n"/>
      <c r="AK591" s="82" t="n"/>
    </row>
    <row r="592">
      <c r="B592" s="84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82" t="n"/>
      <c r="M592" s="82" t="n"/>
      <c r="N592" s="82" t="n"/>
      <c r="O592" s="82" t="n"/>
      <c r="P592" s="82" t="n"/>
      <c r="Q592" s="82" t="n"/>
      <c r="R592" s="82" t="n"/>
      <c r="S592" s="82" t="n"/>
      <c r="T592" s="82" t="n"/>
      <c r="U592" s="82" t="n"/>
      <c r="V592" s="82" t="n"/>
      <c r="W592" s="82" t="n"/>
      <c r="X592" s="82" t="n"/>
      <c r="Y592" s="82" t="n"/>
      <c r="Z592" s="82" t="n"/>
      <c r="AA592" s="82" t="n"/>
      <c r="AB592" s="82" t="n"/>
      <c r="AC592" s="82" t="n"/>
      <c r="AD592" s="82" t="n"/>
      <c r="AE592" s="82" t="n"/>
      <c r="AF592" s="82" t="n"/>
      <c r="AG592" s="82" t="n"/>
      <c r="AH592" s="82" t="n"/>
      <c r="AI592" s="82" t="n"/>
      <c r="AJ592" s="82" t="n"/>
      <c r="AK592" s="82" t="n"/>
    </row>
    <row r="593">
      <c r="B593" s="84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82" t="n"/>
      <c r="M593" s="82" t="n"/>
      <c r="N593" s="82" t="n"/>
      <c r="O593" s="82" t="n"/>
      <c r="P593" s="82" t="n"/>
      <c r="Q593" s="82" t="n"/>
      <c r="R593" s="82" t="n"/>
      <c r="S593" s="82" t="n"/>
      <c r="T593" s="82" t="n"/>
      <c r="U593" s="82" t="n"/>
      <c r="V593" s="82" t="n"/>
      <c r="W593" s="82" t="n"/>
      <c r="X593" s="82" t="n"/>
      <c r="Y593" s="82" t="n"/>
      <c r="Z593" s="82" t="n"/>
      <c r="AA593" s="82" t="n"/>
      <c r="AB593" s="82" t="n"/>
      <c r="AC593" s="82" t="n"/>
      <c r="AD593" s="82" t="n"/>
      <c r="AE593" s="82" t="n"/>
      <c r="AF593" s="82" t="n"/>
      <c r="AG593" s="82" t="n"/>
      <c r="AH593" s="82" t="n"/>
      <c r="AI593" s="82" t="n"/>
      <c r="AJ593" s="82" t="n"/>
      <c r="AK593" s="82" t="n"/>
    </row>
    <row r="594">
      <c r="B594" s="84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82" t="n"/>
      <c r="M594" s="82" t="n"/>
      <c r="N594" s="82" t="n"/>
      <c r="O594" s="82" t="n"/>
      <c r="P594" s="82" t="n"/>
      <c r="Q594" s="82" t="n"/>
      <c r="R594" s="82" t="n"/>
      <c r="S594" s="82" t="n"/>
      <c r="T594" s="82" t="n"/>
      <c r="U594" s="82" t="n"/>
      <c r="V594" s="82" t="n"/>
      <c r="W594" s="82" t="n"/>
      <c r="X594" s="82" t="n"/>
      <c r="Y594" s="82" t="n"/>
      <c r="Z594" s="82" t="n"/>
      <c r="AA594" s="82" t="n"/>
      <c r="AB594" s="82" t="n"/>
      <c r="AC594" s="82" t="n"/>
      <c r="AD594" s="82" t="n"/>
      <c r="AE594" s="82" t="n"/>
      <c r="AF594" s="82" t="n"/>
      <c r="AG594" s="82" t="n"/>
      <c r="AH594" s="82" t="n"/>
      <c r="AI594" s="82" t="n"/>
      <c r="AJ594" s="82" t="n"/>
      <c r="AK594" s="82" t="n"/>
    </row>
    <row r="595">
      <c r="B595" s="84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82" t="n"/>
      <c r="M595" s="82" t="n"/>
      <c r="N595" s="82" t="n"/>
      <c r="O595" s="82" t="n"/>
      <c r="P595" s="82" t="n"/>
      <c r="Q595" s="82" t="n"/>
      <c r="R595" s="82" t="n"/>
      <c r="S595" s="82" t="n"/>
      <c r="T595" s="82" t="n"/>
      <c r="U595" s="82" t="n"/>
      <c r="V595" s="82" t="n"/>
      <c r="W595" s="82" t="n"/>
      <c r="X595" s="82" t="n"/>
      <c r="Y595" s="82" t="n"/>
      <c r="Z595" s="82" t="n"/>
      <c r="AA595" s="82" t="n"/>
      <c r="AB595" s="82" t="n"/>
      <c r="AC595" s="82" t="n"/>
      <c r="AD595" s="82" t="n"/>
      <c r="AE595" s="82" t="n"/>
      <c r="AF595" s="82" t="n"/>
      <c r="AG595" s="82" t="n"/>
      <c r="AH595" s="82" t="n"/>
      <c r="AI595" s="82" t="n"/>
      <c r="AJ595" s="82" t="n"/>
      <c r="AK595" s="82" t="n"/>
    </row>
    <row r="596">
      <c r="B596" s="84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82" t="n"/>
      <c r="M596" s="82" t="n"/>
      <c r="N596" s="82" t="n"/>
      <c r="O596" s="82" t="n"/>
      <c r="P596" s="82" t="n"/>
      <c r="Q596" s="82" t="n"/>
      <c r="R596" s="82" t="n"/>
      <c r="S596" s="82" t="n"/>
      <c r="T596" s="82" t="n"/>
      <c r="U596" s="82" t="n"/>
      <c r="V596" s="82" t="n"/>
      <c r="W596" s="82" t="n"/>
      <c r="X596" s="82" t="n"/>
      <c r="Y596" s="82" t="n"/>
      <c r="Z596" s="82" t="n"/>
      <c r="AA596" s="82" t="n"/>
      <c r="AB596" s="82" t="n"/>
      <c r="AC596" s="82" t="n"/>
      <c r="AD596" s="82" t="n"/>
      <c r="AE596" s="82" t="n"/>
      <c r="AF596" s="82" t="n"/>
      <c r="AG596" s="82" t="n"/>
      <c r="AH596" s="82" t="n"/>
      <c r="AI596" s="82" t="n"/>
      <c r="AJ596" s="82" t="n"/>
      <c r="AK596" s="82" t="n"/>
    </row>
    <row r="597">
      <c r="B597" s="84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82" t="n"/>
      <c r="M597" s="82" t="n"/>
      <c r="N597" s="82" t="n"/>
      <c r="O597" s="82" t="n"/>
      <c r="P597" s="82" t="n"/>
      <c r="Q597" s="82" t="n"/>
      <c r="R597" s="82" t="n"/>
      <c r="S597" s="82" t="n"/>
      <c r="T597" s="82" t="n"/>
      <c r="U597" s="82" t="n"/>
      <c r="V597" s="82" t="n"/>
      <c r="W597" s="82" t="n"/>
      <c r="X597" s="82" t="n"/>
      <c r="Y597" s="82" t="n"/>
      <c r="Z597" s="82" t="n"/>
      <c r="AA597" s="82" t="n"/>
      <c r="AB597" s="82" t="n"/>
      <c r="AC597" s="82" t="n"/>
      <c r="AD597" s="82" t="n"/>
      <c r="AE597" s="82" t="n"/>
      <c r="AF597" s="82" t="n"/>
      <c r="AG597" s="82" t="n"/>
      <c r="AH597" s="82" t="n"/>
      <c r="AI597" s="82" t="n"/>
      <c r="AJ597" s="82" t="n"/>
      <c r="AK597" s="82" t="n"/>
    </row>
    <row r="598">
      <c r="B598" s="84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82" t="n"/>
      <c r="M598" s="82" t="n"/>
      <c r="N598" s="82" t="n"/>
      <c r="O598" s="82" t="n"/>
      <c r="P598" s="82" t="n"/>
      <c r="Q598" s="82" t="n"/>
      <c r="R598" s="82" t="n"/>
      <c r="S598" s="82" t="n"/>
      <c r="T598" s="82" t="n"/>
      <c r="U598" s="82" t="n"/>
      <c r="V598" s="82" t="n"/>
      <c r="W598" s="82" t="n"/>
      <c r="X598" s="82" t="n"/>
      <c r="Y598" s="82" t="n"/>
      <c r="Z598" s="82" t="n"/>
      <c r="AA598" s="82" t="n"/>
      <c r="AB598" s="82" t="n"/>
      <c r="AC598" s="82" t="n"/>
      <c r="AD598" s="82" t="n"/>
      <c r="AE598" s="82" t="n"/>
      <c r="AF598" s="82" t="n"/>
      <c r="AG598" s="82" t="n"/>
      <c r="AH598" s="82" t="n"/>
      <c r="AI598" s="82" t="n"/>
      <c r="AJ598" s="82" t="n"/>
      <c r="AK598" s="82" t="n"/>
    </row>
    <row r="599">
      <c r="B599" s="84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82" t="n"/>
      <c r="M599" s="82" t="n"/>
      <c r="N599" s="82" t="n"/>
      <c r="O599" s="82" t="n"/>
      <c r="P599" s="82" t="n"/>
      <c r="Q599" s="82" t="n"/>
      <c r="R599" s="82" t="n"/>
      <c r="S599" s="82" t="n"/>
      <c r="T599" s="82" t="n"/>
      <c r="U599" s="82" t="n"/>
      <c r="V599" s="82" t="n"/>
      <c r="W599" s="82" t="n"/>
      <c r="X599" s="82" t="n"/>
      <c r="Y599" s="82" t="n"/>
      <c r="Z599" s="82" t="n"/>
      <c r="AA599" s="82" t="n"/>
      <c r="AB599" s="82" t="n"/>
      <c r="AC599" s="82" t="n"/>
      <c r="AD599" s="82" t="n"/>
      <c r="AE599" s="82" t="n"/>
      <c r="AF599" s="82" t="n"/>
      <c r="AG599" s="82" t="n"/>
      <c r="AH599" s="82" t="n"/>
      <c r="AI599" s="82" t="n"/>
      <c r="AJ599" s="82" t="n"/>
      <c r="AK599" s="82" t="n"/>
    </row>
    <row r="600">
      <c r="B600" s="84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82" t="n"/>
      <c r="M600" s="82" t="n"/>
      <c r="N600" s="82" t="n"/>
      <c r="O600" s="82" t="n"/>
      <c r="P600" s="82" t="n"/>
      <c r="Q600" s="82" t="n"/>
      <c r="R600" s="82" t="n"/>
      <c r="S600" s="82" t="n"/>
      <c r="T600" s="82" t="n"/>
      <c r="U600" s="82" t="n"/>
      <c r="V600" s="82" t="n"/>
      <c r="W600" s="82" t="n"/>
      <c r="X600" s="82" t="n"/>
      <c r="Y600" s="82" t="n"/>
      <c r="Z600" s="82" t="n"/>
      <c r="AA600" s="82" t="n"/>
      <c r="AB600" s="82" t="n"/>
      <c r="AC600" s="82" t="n"/>
      <c r="AD600" s="82" t="n"/>
      <c r="AE600" s="82" t="n"/>
      <c r="AF600" s="82" t="n"/>
      <c r="AG600" s="82" t="n"/>
      <c r="AH600" s="82" t="n"/>
      <c r="AI600" s="82" t="n"/>
      <c r="AJ600" s="82" t="n"/>
      <c r="AK600" s="82" t="n"/>
    </row>
    <row r="601">
      <c r="B601" s="84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82" t="n"/>
      <c r="M601" s="82" t="n"/>
      <c r="N601" s="82" t="n"/>
      <c r="O601" s="82" t="n"/>
      <c r="P601" s="82" t="n"/>
      <c r="Q601" s="82" t="n"/>
      <c r="R601" s="82" t="n"/>
      <c r="S601" s="82" t="n"/>
      <c r="T601" s="82" t="n"/>
      <c r="U601" s="82" t="n"/>
      <c r="V601" s="82" t="n"/>
      <c r="W601" s="82" t="n"/>
      <c r="X601" s="82" t="n"/>
      <c r="Y601" s="82" t="n"/>
      <c r="Z601" s="82" t="n"/>
      <c r="AA601" s="82" t="n"/>
      <c r="AB601" s="82" t="n"/>
      <c r="AC601" s="82" t="n"/>
      <c r="AD601" s="82" t="n"/>
      <c r="AE601" s="82" t="n"/>
      <c r="AF601" s="82" t="n"/>
      <c r="AG601" s="82" t="n"/>
      <c r="AH601" s="82" t="n"/>
      <c r="AI601" s="82" t="n"/>
      <c r="AJ601" s="82" t="n"/>
      <c r="AK601" s="82" t="n"/>
    </row>
    <row r="602">
      <c r="B602" s="84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82" t="n"/>
      <c r="M602" s="82" t="n"/>
      <c r="N602" s="82" t="n"/>
      <c r="O602" s="82" t="n"/>
      <c r="P602" s="82" t="n"/>
      <c r="Q602" s="82" t="n"/>
      <c r="R602" s="82" t="n"/>
      <c r="S602" s="82" t="n"/>
      <c r="T602" s="82" t="n"/>
      <c r="U602" s="82" t="n"/>
      <c r="V602" s="82" t="n"/>
      <c r="W602" s="82" t="n"/>
      <c r="X602" s="82" t="n"/>
      <c r="Y602" s="82" t="n"/>
      <c r="Z602" s="82" t="n"/>
      <c r="AA602" s="82" t="n"/>
      <c r="AB602" s="82" t="n"/>
      <c r="AC602" s="82" t="n"/>
      <c r="AD602" s="82" t="n"/>
      <c r="AE602" s="82" t="n"/>
      <c r="AF602" s="82" t="n"/>
      <c r="AG602" s="82" t="n"/>
      <c r="AH602" s="82" t="n"/>
      <c r="AI602" s="82" t="n"/>
      <c r="AJ602" s="82" t="n"/>
      <c r="AK602" s="82" t="n"/>
    </row>
    <row r="603">
      <c r="B603" s="84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82" t="n"/>
      <c r="M603" s="82" t="n"/>
      <c r="N603" s="82" t="n"/>
      <c r="O603" s="82" t="n"/>
      <c r="P603" s="82" t="n"/>
      <c r="Q603" s="82" t="n"/>
      <c r="R603" s="82" t="n"/>
      <c r="S603" s="82" t="n"/>
      <c r="T603" s="82" t="n"/>
      <c r="U603" s="82" t="n"/>
      <c r="V603" s="82" t="n"/>
      <c r="W603" s="82" t="n"/>
      <c r="X603" s="82" t="n"/>
      <c r="Y603" s="82" t="n"/>
      <c r="Z603" s="82" t="n"/>
      <c r="AA603" s="82" t="n"/>
      <c r="AB603" s="82" t="n"/>
      <c r="AC603" s="82" t="n"/>
      <c r="AD603" s="82" t="n"/>
      <c r="AE603" s="82" t="n"/>
      <c r="AF603" s="82" t="n"/>
      <c r="AG603" s="82" t="n"/>
      <c r="AH603" s="82" t="n"/>
      <c r="AI603" s="82" t="n"/>
      <c r="AJ603" s="82" t="n"/>
      <c r="AK603" s="82" t="n"/>
    </row>
    <row r="604">
      <c r="B604" s="84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82" t="n"/>
      <c r="M604" s="82" t="n"/>
      <c r="N604" s="82" t="n"/>
      <c r="O604" s="82" t="n"/>
      <c r="P604" s="82" t="n"/>
      <c r="Q604" s="82" t="n"/>
      <c r="R604" s="82" t="n"/>
      <c r="S604" s="82" t="n"/>
      <c r="T604" s="82" t="n"/>
      <c r="U604" s="82" t="n"/>
      <c r="V604" s="82" t="n"/>
      <c r="W604" s="82" t="n"/>
      <c r="X604" s="82" t="n"/>
      <c r="Y604" s="82" t="n"/>
      <c r="Z604" s="82" t="n"/>
      <c r="AA604" s="82" t="n"/>
      <c r="AB604" s="82" t="n"/>
      <c r="AC604" s="82" t="n"/>
      <c r="AD604" s="82" t="n"/>
      <c r="AE604" s="82" t="n"/>
      <c r="AF604" s="82" t="n"/>
      <c r="AG604" s="82" t="n"/>
      <c r="AH604" s="82" t="n"/>
      <c r="AI604" s="82" t="n"/>
      <c r="AJ604" s="82" t="n"/>
      <c r="AK604" s="82" t="n"/>
    </row>
    <row r="605">
      <c r="B605" s="84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82" t="n"/>
      <c r="M605" s="82" t="n"/>
      <c r="N605" s="82" t="n"/>
      <c r="O605" s="82" t="n"/>
      <c r="P605" s="82" t="n"/>
      <c r="Q605" s="82" t="n"/>
      <c r="R605" s="82" t="n"/>
      <c r="S605" s="82" t="n"/>
      <c r="T605" s="82" t="n"/>
      <c r="U605" s="82" t="n"/>
      <c r="V605" s="82" t="n"/>
      <c r="W605" s="82" t="n"/>
      <c r="X605" s="82" t="n"/>
      <c r="Y605" s="82" t="n"/>
      <c r="Z605" s="82" t="n"/>
      <c r="AA605" s="82" t="n"/>
      <c r="AB605" s="82" t="n"/>
      <c r="AC605" s="82" t="n"/>
      <c r="AD605" s="82" t="n"/>
      <c r="AE605" s="82" t="n"/>
      <c r="AF605" s="82" t="n"/>
      <c r="AG605" s="82" t="n"/>
      <c r="AH605" s="82" t="n"/>
      <c r="AI605" s="82" t="n"/>
      <c r="AJ605" s="82" t="n"/>
      <c r="AK605" s="82" t="n"/>
    </row>
    <row r="606">
      <c r="B606" s="84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82" t="n"/>
      <c r="M606" s="82" t="n"/>
      <c r="N606" s="82" t="n"/>
      <c r="O606" s="82" t="n"/>
      <c r="P606" s="82" t="n"/>
      <c r="Q606" s="82" t="n"/>
      <c r="R606" s="82" t="n"/>
      <c r="S606" s="82" t="n"/>
      <c r="T606" s="82" t="n"/>
      <c r="U606" s="82" t="n"/>
      <c r="V606" s="82" t="n"/>
      <c r="W606" s="82" t="n"/>
      <c r="X606" s="82" t="n"/>
      <c r="Y606" s="82" t="n"/>
      <c r="Z606" s="82" t="n"/>
      <c r="AA606" s="82" t="n"/>
      <c r="AB606" s="82" t="n"/>
      <c r="AC606" s="82" t="n"/>
      <c r="AD606" s="82" t="n"/>
      <c r="AE606" s="82" t="n"/>
      <c r="AF606" s="82" t="n"/>
      <c r="AG606" s="82" t="n"/>
      <c r="AH606" s="82" t="n"/>
      <c r="AI606" s="82" t="n"/>
      <c r="AJ606" s="82" t="n"/>
      <c r="AK606" s="82" t="n"/>
    </row>
    <row r="607">
      <c r="B607" s="84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82" t="n"/>
      <c r="M607" s="82" t="n"/>
      <c r="N607" s="82" t="n"/>
      <c r="O607" s="82" t="n"/>
      <c r="P607" s="82" t="n"/>
      <c r="Q607" s="82" t="n"/>
      <c r="R607" s="82" t="n"/>
      <c r="S607" s="82" t="n"/>
      <c r="T607" s="82" t="n"/>
      <c r="U607" s="82" t="n"/>
      <c r="V607" s="82" t="n"/>
      <c r="W607" s="82" t="n"/>
      <c r="X607" s="82" t="n"/>
      <c r="Y607" s="82" t="n"/>
      <c r="Z607" s="82" t="n"/>
      <c r="AA607" s="82" t="n"/>
      <c r="AB607" s="82" t="n"/>
      <c r="AC607" s="82" t="n"/>
      <c r="AD607" s="82" t="n"/>
      <c r="AE607" s="82" t="n"/>
      <c r="AF607" s="82" t="n"/>
      <c r="AG607" s="82" t="n"/>
      <c r="AH607" s="82" t="n"/>
      <c r="AI607" s="82" t="n"/>
      <c r="AJ607" s="82" t="n"/>
      <c r="AK607" s="82" t="n"/>
    </row>
    <row r="608">
      <c r="B608" s="84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82" t="n"/>
      <c r="M608" s="82" t="n"/>
      <c r="N608" s="82" t="n"/>
      <c r="O608" s="82" t="n"/>
      <c r="P608" s="82" t="n"/>
      <c r="Q608" s="82" t="n"/>
      <c r="R608" s="82" t="n"/>
      <c r="S608" s="82" t="n"/>
      <c r="T608" s="82" t="n"/>
      <c r="U608" s="82" t="n"/>
      <c r="V608" s="82" t="n"/>
      <c r="W608" s="82" t="n"/>
      <c r="X608" s="82" t="n"/>
      <c r="Y608" s="82" t="n"/>
      <c r="Z608" s="82" t="n"/>
      <c r="AA608" s="82" t="n"/>
      <c r="AB608" s="82" t="n"/>
      <c r="AC608" s="82" t="n"/>
      <c r="AD608" s="82" t="n"/>
      <c r="AE608" s="82" t="n"/>
      <c r="AF608" s="82" t="n"/>
      <c r="AG608" s="82" t="n"/>
      <c r="AH608" s="82" t="n"/>
      <c r="AI608" s="82" t="n"/>
      <c r="AJ608" s="82" t="n"/>
      <c r="AK608" s="82" t="n"/>
    </row>
    <row r="609">
      <c r="B609" s="84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82" t="n"/>
      <c r="M609" s="82" t="n"/>
      <c r="N609" s="82" t="n"/>
      <c r="O609" s="82" t="n"/>
      <c r="P609" s="82" t="n"/>
      <c r="Q609" s="82" t="n"/>
      <c r="R609" s="82" t="n"/>
      <c r="S609" s="82" t="n"/>
      <c r="T609" s="82" t="n"/>
      <c r="U609" s="82" t="n"/>
      <c r="V609" s="82" t="n"/>
      <c r="W609" s="82" t="n"/>
      <c r="X609" s="82" t="n"/>
      <c r="Y609" s="82" t="n"/>
      <c r="Z609" s="82" t="n"/>
      <c r="AA609" s="82" t="n"/>
      <c r="AB609" s="82" t="n"/>
      <c r="AC609" s="82" t="n"/>
      <c r="AD609" s="82" t="n"/>
      <c r="AE609" s="82" t="n"/>
      <c r="AF609" s="82" t="n"/>
      <c r="AG609" s="82" t="n"/>
      <c r="AH609" s="82" t="n"/>
      <c r="AI609" s="82" t="n"/>
      <c r="AJ609" s="82" t="n"/>
      <c r="AK609" s="82" t="n"/>
    </row>
    <row r="610">
      <c r="B610" s="84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82" t="n"/>
      <c r="M610" s="82" t="n"/>
      <c r="N610" s="82" t="n"/>
      <c r="O610" s="82" t="n"/>
      <c r="P610" s="82" t="n"/>
      <c r="Q610" s="82" t="n"/>
      <c r="R610" s="82" t="n"/>
      <c r="S610" s="82" t="n"/>
      <c r="T610" s="82" t="n"/>
      <c r="U610" s="82" t="n"/>
      <c r="V610" s="82" t="n"/>
      <c r="W610" s="82" t="n"/>
      <c r="X610" s="82" t="n"/>
      <c r="Y610" s="82" t="n"/>
      <c r="Z610" s="82" t="n"/>
      <c r="AA610" s="82" t="n"/>
      <c r="AB610" s="82" t="n"/>
      <c r="AC610" s="82" t="n"/>
      <c r="AD610" s="82" t="n"/>
      <c r="AE610" s="82" t="n"/>
      <c r="AF610" s="82" t="n"/>
      <c r="AG610" s="82" t="n"/>
      <c r="AH610" s="82" t="n"/>
      <c r="AI610" s="82" t="n"/>
      <c r="AJ610" s="82" t="n"/>
      <c r="AK610" s="82" t="n"/>
    </row>
    <row r="611">
      <c r="B611" s="84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82" t="n"/>
      <c r="M611" s="82" t="n"/>
      <c r="N611" s="82" t="n"/>
      <c r="O611" s="82" t="n"/>
      <c r="P611" s="82" t="n"/>
      <c r="Q611" s="82" t="n"/>
      <c r="R611" s="82" t="n"/>
      <c r="S611" s="82" t="n"/>
      <c r="T611" s="82" t="n"/>
      <c r="U611" s="82" t="n"/>
      <c r="V611" s="82" t="n"/>
      <c r="W611" s="82" t="n"/>
      <c r="X611" s="82" t="n"/>
      <c r="Y611" s="82" t="n"/>
      <c r="Z611" s="82" t="n"/>
      <c r="AA611" s="82" t="n"/>
      <c r="AB611" s="82" t="n"/>
      <c r="AC611" s="82" t="n"/>
      <c r="AD611" s="82" t="n"/>
      <c r="AE611" s="82" t="n"/>
      <c r="AF611" s="82" t="n"/>
      <c r="AG611" s="82" t="n"/>
      <c r="AH611" s="82" t="n"/>
      <c r="AI611" s="82" t="n"/>
      <c r="AJ611" s="82" t="n"/>
      <c r="AK611" s="82" t="n"/>
    </row>
    <row r="612">
      <c r="B612" s="84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82" t="n"/>
      <c r="M612" s="82" t="n"/>
      <c r="N612" s="82" t="n"/>
      <c r="O612" s="82" t="n"/>
      <c r="P612" s="82" t="n"/>
      <c r="Q612" s="82" t="n"/>
      <c r="R612" s="82" t="n"/>
      <c r="S612" s="82" t="n"/>
      <c r="T612" s="82" t="n"/>
      <c r="U612" s="82" t="n"/>
      <c r="V612" s="82" t="n"/>
      <c r="W612" s="82" t="n"/>
      <c r="X612" s="82" t="n"/>
      <c r="Y612" s="82" t="n"/>
      <c r="Z612" s="82" t="n"/>
      <c r="AA612" s="82" t="n"/>
      <c r="AB612" s="82" t="n"/>
      <c r="AC612" s="82" t="n"/>
      <c r="AD612" s="82" t="n"/>
      <c r="AE612" s="82" t="n"/>
      <c r="AF612" s="82" t="n"/>
      <c r="AG612" s="82" t="n"/>
      <c r="AH612" s="82" t="n"/>
      <c r="AI612" s="82" t="n"/>
      <c r="AJ612" s="82" t="n"/>
      <c r="AK612" s="82" t="n"/>
    </row>
    <row r="613">
      <c r="B613" s="84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82" t="n"/>
      <c r="M613" s="82" t="n"/>
      <c r="N613" s="82" t="n"/>
      <c r="O613" s="82" t="n"/>
      <c r="P613" s="82" t="n"/>
      <c r="Q613" s="82" t="n"/>
      <c r="R613" s="82" t="n"/>
      <c r="S613" s="82" t="n"/>
      <c r="T613" s="82" t="n"/>
      <c r="U613" s="82" t="n"/>
      <c r="V613" s="82" t="n"/>
      <c r="W613" s="82" t="n"/>
      <c r="X613" s="82" t="n"/>
      <c r="Y613" s="82" t="n"/>
      <c r="Z613" s="82" t="n"/>
      <c r="AA613" s="82" t="n"/>
      <c r="AB613" s="82" t="n"/>
      <c r="AC613" s="82" t="n"/>
      <c r="AD613" s="82" t="n"/>
      <c r="AE613" s="82" t="n"/>
      <c r="AF613" s="82" t="n"/>
      <c r="AG613" s="82" t="n"/>
      <c r="AH613" s="82" t="n"/>
      <c r="AI613" s="82" t="n"/>
      <c r="AJ613" s="82" t="n"/>
      <c r="AK613" s="82" t="n"/>
    </row>
    <row r="614">
      <c r="B614" s="84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82" t="n"/>
      <c r="M614" s="82" t="n"/>
      <c r="N614" s="82" t="n"/>
      <c r="O614" s="82" t="n"/>
      <c r="P614" s="82" t="n"/>
      <c r="Q614" s="82" t="n"/>
      <c r="R614" s="82" t="n"/>
      <c r="S614" s="82" t="n"/>
      <c r="T614" s="82" t="n"/>
      <c r="U614" s="82" t="n"/>
      <c r="V614" s="82" t="n"/>
      <c r="W614" s="82" t="n"/>
      <c r="X614" s="82" t="n"/>
      <c r="Y614" s="82" t="n"/>
      <c r="Z614" s="82" t="n"/>
      <c r="AA614" s="82" t="n"/>
      <c r="AB614" s="82" t="n"/>
      <c r="AC614" s="82" t="n"/>
      <c r="AD614" s="82" t="n"/>
      <c r="AE614" s="82" t="n"/>
      <c r="AF614" s="82" t="n"/>
      <c r="AG614" s="82" t="n"/>
      <c r="AH614" s="82" t="n"/>
      <c r="AI614" s="82" t="n"/>
      <c r="AJ614" s="82" t="n"/>
      <c r="AK614" s="82" t="n"/>
    </row>
    <row r="615">
      <c r="B615" s="84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82" t="n"/>
      <c r="M615" s="82" t="n"/>
      <c r="N615" s="82" t="n"/>
      <c r="O615" s="82" t="n"/>
      <c r="P615" s="82" t="n"/>
      <c r="Q615" s="82" t="n"/>
      <c r="R615" s="82" t="n"/>
      <c r="S615" s="82" t="n"/>
      <c r="T615" s="82" t="n"/>
      <c r="U615" s="82" t="n"/>
      <c r="V615" s="82" t="n"/>
      <c r="W615" s="82" t="n"/>
      <c r="X615" s="82" t="n"/>
      <c r="Y615" s="82" t="n"/>
      <c r="Z615" s="82" t="n"/>
      <c r="AA615" s="82" t="n"/>
      <c r="AB615" s="82" t="n"/>
      <c r="AC615" s="82" t="n"/>
      <c r="AD615" s="82" t="n"/>
      <c r="AE615" s="82" t="n"/>
      <c r="AF615" s="82" t="n"/>
      <c r="AG615" s="82" t="n"/>
      <c r="AH615" s="82" t="n"/>
      <c r="AI615" s="82" t="n"/>
      <c r="AJ615" s="82" t="n"/>
      <c r="AK615" s="82" t="n"/>
    </row>
    <row r="616">
      <c r="B616" s="84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82" t="n"/>
      <c r="M616" s="82" t="n"/>
      <c r="N616" s="82" t="n"/>
      <c r="O616" s="82" t="n"/>
      <c r="P616" s="82" t="n"/>
      <c r="Q616" s="82" t="n"/>
      <c r="R616" s="82" t="n"/>
      <c r="S616" s="82" t="n"/>
      <c r="T616" s="82" t="n"/>
      <c r="U616" s="82" t="n"/>
      <c r="V616" s="82" t="n"/>
      <c r="W616" s="82" t="n"/>
      <c r="X616" s="82" t="n"/>
      <c r="Y616" s="82" t="n"/>
      <c r="Z616" s="82" t="n"/>
      <c r="AA616" s="82" t="n"/>
      <c r="AB616" s="82" t="n"/>
      <c r="AC616" s="82" t="n"/>
      <c r="AD616" s="82" t="n"/>
      <c r="AE616" s="82" t="n"/>
      <c r="AF616" s="82" t="n"/>
      <c r="AG616" s="82" t="n"/>
      <c r="AH616" s="82" t="n"/>
      <c r="AI616" s="82" t="n"/>
      <c r="AJ616" s="82" t="n"/>
      <c r="AK616" s="82" t="n"/>
    </row>
    <row r="617">
      <c r="B617" s="84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82" t="n"/>
      <c r="M617" s="82" t="n"/>
      <c r="N617" s="82" t="n"/>
      <c r="O617" s="82" t="n"/>
      <c r="P617" s="82" t="n"/>
      <c r="Q617" s="82" t="n"/>
      <c r="R617" s="82" t="n"/>
      <c r="S617" s="82" t="n"/>
      <c r="T617" s="82" t="n"/>
      <c r="U617" s="82" t="n"/>
      <c r="V617" s="82" t="n"/>
      <c r="W617" s="82" t="n"/>
      <c r="X617" s="82" t="n"/>
      <c r="Y617" s="82" t="n"/>
      <c r="Z617" s="82" t="n"/>
      <c r="AA617" s="82" t="n"/>
      <c r="AB617" s="82" t="n"/>
      <c r="AC617" s="82" t="n"/>
      <c r="AD617" s="82" t="n"/>
      <c r="AE617" s="82" t="n"/>
      <c r="AF617" s="82" t="n"/>
      <c r="AG617" s="82" t="n"/>
      <c r="AH617" s="82" t="n"/>
      <c r="AI617" s="82" t="n"/>
      <c r="AJ617" s="82" t="n"/>
      <c r="AK617" s="82" t="n"/>
    </row>
    <row r="618">
      <c r="B618" s="84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82" t="n"/>
      <c r="M618" s="82" t="n"/>
      <c r="N618" s="82" t="n"/>
      <c r="O618" s="82" t="n"/>
      <c r="P618" s="82" t="n"/>
      <c r="Q618" s="82" t="n"/>
      <c r="R618" s="82" t="n"/>
      <c r="S618" s="82" t="n"/>
      <c r="T618" s="82" t="n"/>
      <c r="U618" s="82" t="n"/>
      <c r="V618" s="82" t="n"/>
      <c r="W618" s="82" t="n"/>
      <c r="X618" s="82" t="n"/>
      <c r="Y618" s="82" t="n"/>
      <c r="Z618" s="82" t="n"/>
      <c r="AA618" s="82" t="n"/>
      <c r="AB618" s="82" t="n"/>
      <c r="AC618" s="82" t="n"/>
      <c r="AD618" s="82" t="n"/>
      <c r="AE618" s="82" t="n"/>
      <c r="AF618" s="82" t="n"/>
      <c r="AG618" s="82" t="n"/>
      <c r="AH618" s="82" t="n"/>
      <c r="AI618" s="82" t="n"/>
      <c r="AJ618" s="82" t="n"/>
      <c r="AK618" s="82" t="n"/>
    </row>
    <row r="619">
      <c r="B619" s="84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82" t="n"/>
      <c r="M619" s="82" t="n"/>
      <c r="N619" s="82" t="n"/>
      <c r="O619" s="82" t="n"/>
      <c r="P619" s="82" t="n"/>
      <c r="Q619" s="82" t="n"/>
      <c r="R619" s="82" t="n"/>
      <c r="S619" s="82" t="n"/>
      <c r="T619" s="82" t="n"/>
      <c r="U619" s="82" t="n"/>
      <c r="V619" s="82" t="n"/>
      <c r="W619" s="82" t="n"/>
      <c r="X619" s="82" t="n"/>
      <c r="Y619" s="82" t="n"/>
      <c r="Z619" s="82" t="n"/>
      <c r="AA619" s="82" t="n"/>
      <c r="AB619" s="82" t="n"/>
      <c r="AC619" s="82" t="n"/>
      <c r="AD619" s="82" t="n"/>
      <c r="AE619" s="82" t="n"/>
      <c r="AF619" s="82" t="n"/>
      <c r="AG619" s="82" t="n"/>
      <c r="AH619" s="82" t="n"/>
      <c r="AI619" s="82" t="n"/>
      <c r="AJ619" s="82" t="n"/>
      <c r="AK619" s="82" t="n"/>
    </row>
    <row r="620">
      <c r="B620" s="84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82" t="n"/>
      <c r="M620" s="82" t="n"/>
      <c r="N620" s="82" t="n"/>
      <c r="O620" s="82" t="n"/>
      <c r="P620" s="82" t="n"/>
      <c r="Q620" s="82" t="n"/>
      <c r="R620" s="82" t="n"/>
      <c r="S620" s="82" t="n"/>
      <c r="T620" s="82" t="n"/>
      <c r="U620" s="82" t="n"/>
      <c r="V620" s="82" t="n"/>
      <c r="W620" s="82" t="n"/>
      <c r="X620" s="82" t="n"/>
      <c r="Y620" s="82" t="n"/>
      <c r="Z620" s="82" t="n"/>
      <c r="AA620" s="82" t="n"/>
      <c r="AB620" s="82" t="n"/>
      <c r="AC620" s="82" t="n"/>
      <c r="AD620" s="82" t="n"/>
      <c r="AE620" s="82" t="n"/>
      <c r="AF620" s="82" t="n"/>
      <c r="AG620" s="82" t="n"/>
      <c r="AH620" s="82" t="n"/>
      <c r="AI620" s="82" t="n"/>
      <c r="AJ620" s="82" t="n"/>
      <c r="AK620" s="82" t="n"/>
    </row>
    <row r="621">
      <c r="B621" s="84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82" t="n"/>
      <c r="M621" s="82" t="n"/>
      <c r="N621" s="82" t="n"/>
      <c r="O621" s="82" t="n"/>
      <c r="P621" s="82" t="n"/>
      <c r="Q621" s="82" t="n"/>
      <c r="R621" s="82" t="n"/>
      <c r="S621" s="82" t="n"/>
      <c r="T621" s="82" t="n"/>
      <c r="U621" s="82" t="n"/>
      <c r="V621" s="82" t="n"/>
      <c r="W621" s="82" t="n"/>
      <c r="X621" s="82" t="n"/>
      <c r="Y621" s="82" t="n"/>
      <c r="Z621" s="82" t="n"/>
      <c r="AA621" s="82" t="n"/>
      <c r="AB621" s="82" t="n"/>
      <c r="AC621" s="82" t="n"/>
      <c r="AD621" s="82" t="n"/>
      <c r="AE621" s="82" t="n"/>
      <c r="AF621" s="82" t="n"/>
      <c r="AG621" s="82" t="n"/>
      <c r="AH621" s="82" t="n"/>
      <c r="AI621" s="82" t="n"/>
      <c r="AJ621" s="82" t="n"/>
      <c r="AK621" s="82" t="n"/>
    </row>
    <row r="622">
      <c r="B622" s="84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82" t="n"/>
      <c r="M622" s="82" t="n"/>
      <c r="N622" s="82" t="n"/>
      <c r="O622" s="82" t="n"/>
      <c r="P622" s="82" t="n"/>
      <c r="Q622" s="82" t="n"/>
      <c r="R622" s="82" t="n"/>
      <c r="S622" s="82" t="n"/>
      <c r="T622" s="82" t="n"/>
      <c r="U622" s="82" t="n"/>
      <c r="V622" s="82" t="n"/>
      <c r="W622" s="82" t="n"/>
      <c r="X622" s="82" t="n"/>
      <c r="Y622" s="82" t="n"/>
      <c r="Z622" s="82" t="n"/>
      <c r="AA622" s="82" t="n"/>
      <c r="AB622" s="82" t="n"/>
      <c r="AC622" s="82" t="n"/>
      <c r="AD622" s="82" t="n"/>
      <c r="AE622" s="82" t="n"/>
      <c r="AF622" s="82" t="n"/>
      <c r="AG622" s="82" t="n"/>
      <c r="AH622" s="82" t="n"/>
      <c r="AI622" s="82" t="n"/>
      <c r="AJ622" s="82" t="n"/>
      <c r="AK622" s="82" t="n"/>
    </row>
    <row r="623">
      <c r="B623" s="84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82" t="n"/>
      <c r="M623" s="82" t="n"/>
      <c r="N623" s="82" t="n"/>
      <c r="O623" s="82" t="n"/>
      <c r="P623" s="82" t="n"/>
      <c r="Q623" s="82" t="n"/>
      <c r="R623" s="82" t="n"/>
      <c r="S623" s="82" t="n"/>
      <c r="T623" s="82" t="n"/>
      <c r="U623" s="82" t="n"/>
      <c r="V623" s="82" t="n"/>
      <c r="W623" s="82" t="n"/>
      <c r="X623" s="82" t="n"/>
      <c r="Y623" s="82" t="n"/>
      <c r="Z623" s="82" t="n"/>
      <c r="AA623" s="82" t="n"/>
      <c r="AB623" s="82" t="n"/>
      <c r="AC623" s="82" t="n"/>
      <c r="AD623" s="82" t="n"/>
      <c r="AE623" s="82" t="n"/>
      <c r="AF623" s="82" t="n"/>
      <c r="AG623" s="82" t="n"/>
      <c r="AH623" s="82" t="n"/>
      <c r="AI623" s="82" t="n"/>
      <c r="AJ623" s="82" t="n"/>
      <c r="AK623" s="82" t="n"/>
    </row>
    <row r="624">
      <c r="B624" s="84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82" t="n"/>
      <c r="M624" s="82" t="n"/>
      <c r="N624" s="82" t="n"/>
      <c r="O624" s="82" t="n"/>
      <c r="P624" s="82" t="n"/>
      <c r="Q624" s="82" t="n"/>
      <c r="R624" s="82" t="n"/>
      <c r="S624" s="82" t="n"/>
      <c r="T624" s="82" t="n"/>
      <c r="U624" s="82" t="n"/>
      <c r="V624" s="82" t="n"/>
      <c r="W624" s="82" t="n"/>
      <c r="X624" s="82" t="n"/>
      <c r="Y624" s="82" t="n"/>
      <c r="Z624" s="82" t="n"/>
      <c r="AA624" s="82" t="n"/>
      <c r="AB624" s="82" t="n"/>
      <c r="AC624" s="82" t="n"/>
      <c r="AD624" s="82" t="n"/>
      <c r="AE624" s="82" t="n"/>
      <c r="AF624" s="82" t="n"/>
      <c r="AG624" s="82" t="n"/>
      <c r="AH624" s="82" t="n"/>
      <c r="AI624" s="82" t="n"/>
      <c r="AJ624" s="82" t="n"/>
      <c r="AK624" s="82" t="n"/>
    </row>
    <row r="625">
      <c r="B625" s="84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82" t="n"/>
      <c r="M625" s="82" t="n"/>
      <c r="N625" s="82" t="n"/>
      <c r="O625" s="82" t="n"/>
      <c r="P625" s="82" t="n"/>
      <c r="Q625" s="82" t="n"/>
      <c r="R625" s="82" t="n"/>
      <c r="S625" s="82" t="n"/>
      <c r="T625" s="82" t="n"/>
      <c r="U625" s="82" t="n"/>
      <c r="V625" s="82" t="n"/>
      <c r="W625" s="82" t="n"/>
      <c r="X625" s="82" t="n"/>
      <c r="Y625" s="82" t="n"/>
      <c r="Z625" s="82" t="n"/>
      <c r="AA625" s="82" t="n"/>
      <c r="AB625" s="82" t="n"/>
      <c r="AC625" s="82" t="n"/>
      <c r="AD625" s="82" t="n"/>
      <c r="AE625" s="82" t="n"/>
      <c r="AF625" s="82" t="n"/>
      <c r="AG625" s="82" t="n"/>
      <c r="AH625" s="82" t="n"/>
      <c r="AI625" s="82" t="n"/>
      <c r="AJ625" s="82" t="n"/>
      <c r="AK625" s="82" t="n"/>
    </row>
    <row r="626">
      <c r="B626" s="84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82" t="n"/>
      <c r="M626" s="82" t="n"/>
      <c r="N626" s="82" t="n"/>
      <c r="O626" s="82" t="n"/>
      <c r="P626" s="82" t="n"/>
      <c r="Q626" s="82" t="n"/>
      <c r="R626" s="82" t="n"/>
      <c r="S626" s="82" t="n"/>
      <c r="T626" s="82" t="n"/>
      <c r="U626" s="82" t="n"/>
      <c r="V626" s="82" t="n"/>
      <c r="W626" s="82" t="n"/>
      <c r="X626" s="82" t="n"/>
      <c r="Y626" s="82" t="n"/>
      <c r="Z626" s="82" t="n"/>
      <c r="AA626" s="82" t="n"/>
      <c r="AB626" s="82" t="n"/>
      <c r="AC626" s="82" t="n"/>
      <c r="AD626" s="82" t="n"/>
      <c r="AE626" s="82" t="n"/>
      <c r="AF626" s="82" t="n"/>
      <c r="AG626" s="82" t="n"/>
      <c r="AH626" s="82" t="n"/>
      <c r="AI626" s="82" t="n"/>
      <c r="AJ626" s="82" t="n"/>
      <c r="AK626" s="82" t="n"/>
    </row>
    <row r="627">
      <c r="B627" s="84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82" t="n"/>
      <c r="M627" s="82" t="n"/>
      <c r="N627" s="82" t="n"/>
      <c r="O627" s="82" t="n"/>
      <c r="P627" s="82" t="n"/>
      <c r="Q627" s="82" t="n"/>
      <c r="R627" s="82" t="n"/>
      <c r="S627" s="82" t="n"/>
      <c r="T627" s="82" t="n"/>
      <c r="U627" s="82" t="n"/>
      <c r="V627" s="82" t="n"/>
      <c r="W627" s="82" t="n"/>
      <c r="X627" s="82" t="n"/>
      <c r="Y627" s="82" t="n"/>
      <c r="Z627" s="82" t="n"/>
      <c r="AA627" s="82" t="n"/>
      <c r="AB627" s="82" t="n"/>
      <c r="AC627" s="82" t="n"/>
      <c r="AD627" s="82" t="n"/>
      <c r="AE627" s="82" t="n"/>
      <c r="AF627" s="82" t="n"/>
      <c r="AG627" s="82" t="n"/>
      <c r="AH627" s="82" t="n"/>
      <c r="AI627" s="82" t="n"/>
      <c r="AJ627" s="82" t="n"/>
      <c r="AK627" s="82" t="n"/>
    </row>
    <row r="628">
      <c r="B628" s="84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82" t="n"/>
      <c r="M628" s="82" t="n"/>
      <c r="N628" s="82" t="n"/>
      <c r="O628" s="82" t="n"/>
      <c r="P628" s="82" t="n"/>
      <c r="Q628" s="82" t="n"/>
      <c r="R628" s="82" t="n"/>
      <c r="S628" s="82" t="n"/>
      <c r="T628" s="82" t="n"/>
      <c r="U628" s="82" t="n"/>
      <c r="V628" s="82" t="n"/>
      <c r="W628" s="82" t="n"/>
      <c r="X628" s="82" t="n"/>
      <c r="Y628" s="82" t="n"/>
      <c r="Z628" s="82" t="n"/>
      <c r="AA628" s="82" t="n"/>
      <c r="AB628" s="82" t="n"/>
      <c r="AC628" s="82" t="n"/>
      <c r="AD628" s="82" t="n"/>
      <c r="AE628" s="82" t="n"/>
      <c r="AF628" s="82" t="n"/>
      <c r="AG628" s="82" t="n"/>
      <c r="AH628" s="82" t="n"/>
      <c r="AI628" s="82" t="n"/>
      <c r="AJ628" s="82" t="n"/>
      <c r="AK628" s="82" t="n"/>
    </row>
    <row r="629">
      <c r="B629" s="84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82" t="n"/>
      <c r="M629" s="82" t="n"/>
      <c r="N629" s="82" t="n"/>
      <c r="O629" s="82" t="n"/>
      <c r="P629" s="82" t="n"/>
      <c r="Q629" s="82" t="n"/>
      <c r="R629" s="82" t="n"/>
      <c r="S629" s="82" t="n"/>
      <c r="T629" s="82" t="n"/>
      <c r="U629" s="82" t="n"/>
      <c r="V629" s="82" t="n"/>
      <c r="W629" s="82" t="n"/>
      <c r="X629" s="82" t="n"/>
      <c r="Y629" s="82" t="n"/>
      <c r="Z629" s="82" t="n"/>
      <c r="AA629" s="82" t="n"/>
      <c r="AB629" s="82" t="n"/>
      <c r="AC629" s="82" t="n"/>
      <c r="AD629" s="82" t="n"/>
      <c r="AE629" s="82" t="n"/>
      <c r="AF629" s="82" t="n"/>
      <c r="AG629" s="82" t="n"/>
      <c r="AH629" s="82" t="n"/>
      <c r="AI629" s="82" t="n"/>
      <c r="AJ629" s="82" t="n"/>
      <c r="AK629" s="82" t="n"/>
    </row>
    <row r="630">
      <c r="B630" s="84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82" t="n"/>
      <c r="M630" s="82" t="n"/>
      <c r="N630" s="82" t="n"/>
      <c r="O630" s="82" t="n"/>
      <c r="P630" s="82" t="n"/>
      <c r="Q630" s="82" t="n"/>
      <c r="R630" s="82" t="n"/>
      <c r="S630" s="82" t="n"/>
      <c r="T630" s="82" t="n"/>
      <c r="U630" s="82" t="n"/>
      <c r="V630" s="82" t="n"/>
      <c r="W630" s="82" t="n"/>
      <c r="X630" s="82" t="n"/>
      <c r="Y630" s="82" t="n"/>
      <c r="Z630" s="82" t="n"/>
      <c r="AA630" s="82" t="n"/>
      <c r="AB630" s="82" t="n"/>
      <c r="AC630" s="82" t="n"/>
      <c r="AD630" s="82" t="n"/>
      <c r="AE630" s="82" t="n"/>
      <c r="AF630" s="82" t="n"/>
      <c r="AG630" s="82" t="n"/>
      <c r="AH630" s="82" t="n"/>
      <c r="AI630" s="82" t="n"/>
      <c r="AJ630" s="82" t="n"/>
      <c r="AK630" s="82" t="n"/>
    </row>
    <row r="631">
      <c r="B631" s="84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82" t="n"/>
      <c r="M631" s="82" t="n"/>
      <c r="N631" s="82" t="n"/>
      <c r="O631" s="82" t="n"/>
      <c r="P631" s="82" t="n"/>
      <c r="Q631" s="82" t="n"/>
      <c r="R631" s="82" t="n"/>
      <c r="S631" s="82" t="n"/>
      <c r="T631" s="82" t="n"/>
      <c r="U631" s="82" t="n"/>
      <c r="V631" s="82" t="n"/>
      <c r="W631" s="82" t="n"/>
      <c r="X631" s="82" t="n"/>
      <c r="Y631" s="82" t="n"/>
      <c r="Z631" s="82" t="n"/>
      <c r="AA631" s="82" t="n"/>
      <c r="AB631" s="82" t="n"/>
      <c r="AC631" s="82" t="n"/>
      <c r="AD631" s="82" t="n"/>
      <c r="AE631" s="82" t="n"/>
      <c r="AF631" s="82" t="n"/>
      <c r="AG631" s="82" t="n"/>
      <c r="AH631" s="82" t="n"/>
      <c r="AI631" s="82" t="n"/>
      <c r="AJ631" s="82" t="n"/>
      <c r="AK631" s="82" t="n"/>
    </row>
    <row r="632">
      <c r="B632" s="84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82" t="n"/>
      <c r="M632" s="82" t="n"/>
      <c r="N632" s="82" t="n"/>
      <c r="O632" s="82" t="n"/>
      <c r="P632" s="82" t="n"/>
      <c r="Q632" s="82" t="n"/>
      <c r="R632" s="82" t="n"/>
      <c r="S632" s="82" t="n"/>
      <c r="T632" s="82" t="n"/>
      <c r="U632" s="82" t="n"/>
      <c r="V632" s="82" t="n"/>
      <c r="W632" s="82" t="n"/>
      <c r="X632" s="82" t="n"/>
      <c r="Y632" s="82" t="n"/>
      <c r="Z632" s="82" t="n"/>
      <c r="AA632" s="82" t="n"/>
      <c r="AB632" s="82" t="n"/>
      <c r="AC632" s="82" t="n"/>
      <c r="AD632" s="82" t="n"/>
      <c r="AE632" s="82" t="n"/>
      <c r="AF632" s="82" t="n"/>
      <c r="AG632" s="82" t="n"/>
      <c r="AH632" s="82" t="n"/>
      <c r="AI632" s="82" t="n"/>
      <c r="AJ632" s="82" t="n"/>
      <c r="AK632" s="82" t="n"/>
    </row>
    <row r="633">
      <c r="B633" s="84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82" t="n"/>
      <c r="M633" s="82" t="n"/>
      <c r="N633" s="82" t="n"/>
      <c r="O633" s="82" t="n"/>
      <c r="P633" s="82" t="n"/>
      <c r="Q633" s="82" t="n"/>
      <c r="R633" s="82" t="n"/>
      <c r="S633" s="82" t="n"/>
      <c r="T633" s="82" t="n"/>
      <c r="U633" s="82" t="n"/>
      <c r="V633" s="82" t="n"/>
      <c r="W633" s="82" t="n"/>
      <c r="X633" s="82" t="n"/>
      <c r="Y633" s="82" t="n"/>
      <c r="Z633" s="82" t="n"/>
      <c r="AA633" s="82" t="n"/>
      <c r="AB633" s="82" t="n"/>
      <c r="AC633" s="82" t="n"/>
      <c r="AD633" s="82" t="n"/>
      <c r="AE633" s="82" t="n"/>
      <c r="AF633" s="82" t="n"/>
      <c r="AG633" s="82" t="n"/>
      <c r="AH633" s="82" t="n"/>
      <c r="AI633" s="82" t="n"/>
      <c r="AJ633" s="82" t="n"/>
      <c r="AK633" s="82" t="n"/>
    </row>
    <row r="634">
      <c r="B634" s="84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82" t="n"/>
      <c r="M634" s="82" t="n"/>
      <c r="N634" s="82" t="n"/>
      <c r="O634" s="82" t="n"/>
      <c r="P634" s="82" t="n"/>
      <c r="Q634" s="82" t="n"/>
      <c r="R634" s="82" t="n"/>
      <c r="S634" s="82" t="n"/>
      <c r="T634" s="82" t="n"/>
      <c r="U634" s="82" t="n"/>
      <c r="V634" s="82" t="n"/>
      <c r="W634" s="82" t="n"/>
      <c r="X634" s="82" t="n"/>
      <c r="Y634" s="82" t="n"/>
      <c r="Z634" s="82" t="n"/>
      <c r="AA634" s="82" t="n"/>
      <c r="AB634" s="82" t="n"/>
      <c r="AC634" s="82" t="n"/>
      <c r="AD634" s="82" t="n"/>
      <c r="AE634" s="82" t="n"/>
      <c r="AF634" s="82" t="n"/>
      <c r="AG634" s="82" t="n"/>
      <c r="AH634" s="82" t="n"/>
      <c r="AI634" s="82" t="n"/>
      <c r="AJ634" s="82" t="n"/>
      <c r="AK634" s="82" t="n"/>
    </row>
    <row r="635">
      <c r="B635" s="84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82" t="n"/>
      <c r="M635" s="82" t="n"/>
      <c r="N635" s="82" t="n"/>
      <c r="O635" s="82" t="n"/>
      <c r="P635" s="82" t="n"/>
      <c r="Q635" s="82" t="n"/>
      <c r="R635" s="82" t="n"/>
      <c r="S635" s="82" t="n"/>
      <c r="T635" s="82" t="n"/>
      <c r="U635" s="82" t="n"/>
      <c r="V635" s="82" t="n"/>
      <c r="W635" s="82" t="n"/>
      <c r="X635" s="82" t="n"/>
      <c r="Y635" s="82" t="n"/>
      <c r="Z635" s="82" t="n"/>
      <c r="AA635" s="82" t="n"/>
      <c r="AB635" s="82" t="n"/>
      <c r="AC635" s="82" t="n"/>
      <c r="AD635" s="82" t="n"/>
      <c r="AE635" s="82" t="n"/>
      <c r="AF635" s="82" t="n"/>
      <c r="AG635" s="82" t="n"/>
      <c r="AH635" s="82" t="n"/>
      <c r="AI635" s="82" t="n"/>
      <c r="AJ635" s="82" t="n"/>
      <c r="AK635" s="82" t="n"/>
    </row>
    <row r="636">
      <c r="B636" s="84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82" t="n"/>
      <c r="M636" s="82" t="n"/>
      <c r="N636" s="82" t="n"/>
      <c r="O636" s="82" t="n"/>
      <c r="P636" s="82" t="n"/>
      <c r="Q636" s="82" t="n"/>
      <c r="R636" s="82" t="n"/>
      <c r="S636" s="82" t="n"/>
      <c r="T636" s="82" t="n"/>
      <c r="U636" s="82" t="n"/>
      <c r="V636" s="82" t="n"/>
      <c r="W636" s="82" t="n"/>
      <c r="X636" s="82" t="n"/>
      <c r="Y636" s="82" t="n"/>
      <c r="Z636" s="82" t="n"/>
      <c r="AA636" s="82" t="n"/>
      <c r="AB636" s="82" t="n"/>
      <c r="AC636" s="82" t="n"/>
      <c r="AD636" s="82" t="n"/>
      <c r="AE636" s="82" t="n"/>
      <c r="AF636" s="82" t="n"/>
      <c r="AG636" s="82" t="n"/>
      <c r="AH636" s="82" t="n"/>
      <c r="AI636" s="82" t="n"/>
      <c r="AJ636" s="82" t="n"/>
      <c r="AK636" s="82" t="n"/>
    </row>
    <row r="637">
      <c r="B637" s="84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82" t="n"/>
      <c r="M637" s="82" t="n"/>
      <c r="N637" s="82" t="n"/>
      <c r="O637" s="82" t="n"/>
      <c r="P637" s="82" t="n"/>
      <c r="Q637" s="82" t="n"/>
      <c r="R637" s="82" t="n"/>
      <c r="S637" s="82" t="n"/>
      <c r="T637" s="82" t="n"/>
      <c r="U637" s="82" t="n"/>
      <c r="V637" s="82" t="n"/>
      <c r="W637" s="82" t="n"/>
      <c r="X637" s="82" t="n"/>
      <c r="Y637" s="82" t="n"/>
      <c r="Z637" s="82" t="n"/>
      <c r="AA637" s="82" t="n"/>
      <c r="AB637" s="82" t="n"/>
      <c r="AC637" s="82" t="n"/>
      <c r="AD637" s="82" t="n"/>
      <c r="AE637" s="82" t="n"/>
      <c r="AF637" s="82" t="n"/>
      <c r="AG637" s="82" t="n"/>
      <c r="AH637" s="82" t="n"/>
      <c r="AI637" s="82" t="n"/>
      <c r="AJ637" s="82" t="n"/>
      <c r="AK637" s="82" t="n"/>
    </row>
    <row r="638">
      <c r="B638" s="84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82" t="n"/>
      <c r="M638" s="82" t="n"/>
      <c r="N638" s="82" t="n"/>
      <c r="O638" s="82" t="n"/>
      <c r="P638" s="82" t="n"/>
      <c r="Q638" s="82" t="n"/>
      <c r="R638" s="82" t="n"/>
      <c r="S638" s="82" t="n"/>
      <c r="T638" s="82" t="n"/>
      <c r="U638" s="82" t="n"/>
      <c r="V638" s="82" t="n"/>
      <c r="W638" s="82" t="n"/>
      <c r="X638" s="82" t="n"/>
      <c r="Y638" s="82" t="n"/>
      <c r="Z638" s="82" t="n"/>
      <c r="AA638" s="82" t="n"/>
      <c r="AB638" s="82" t="n"/>
      <c r="AC638" s="82" t="n"/>
      <c r="AD638" s="82" t="n"/>
      <c r="AE638" s="82" t="n"/>
      <c r="AF638" s="82" t="n"/>
      <c r="AG638" s="82" t="n"/>
      <c r="AH638" s="82" t="n"/>
      <c r="AI638" s="82" t="n"/>
      <c r="AJ638" s="82" t="n"/>
      <c r="AK638" s="82" t="n"/>
    </row>
    <row r="639">
      <c r="B639" s="84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82" t="n"/>
      <c r="M639" s="82" t="n"/>
      <c r="N639" s="82" t="n"/>
      <c r="O639" s="82" t="n"/>
      <c r="P639" s="82" t="n"/>
      <c r="Q639" s="82" t="n"/>
      <c r="R639" s="82" t="n"/>
      <c r="S639" s="82" t="n"/>
      <c r="T639" s="82" t="n"/>
      <c r="U639" s="82" t="n"/>
      <c r="V639" s="82" t="n"/>
      <c r="W639" s="82" t="n"/>
      <c r="X639" s="82" t="n"/>
      <c r="Y639" s="82" t="n"/>
      <c r="Z639" s="82" t="n"/>
      <c r="AA639" s="82" t="n"/>
      <c r="AB639" s="82" t="n"/>
      <c r="AC639" s="82" t="n"/>
      <c r="AD639" s="82" t="n"/>
      <c r="AE639" s="82" t="n"/>
      <c r="AF639" s="82" t="n"/>
      <c r="AG639" s="82" t="n"/>
      <c r="AH639" s="82" t="n"/>
      <c r="AI639" s="82" t="n"/>
      <c r="AJ639" s="82" t="n"/>
      <c r="AK639" s="82" t="n"/>
    </row>
    <row r="640">
      <c r="B640" s="84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82" t="n"/>
      <c r="M640" s="82" t="n"/>
      <c r="N640" s="82" t="n"/>
      <c r="O640" s="82" t="n"/>
      <c r="P640" s="82" t="n"/>
      <c r="Q640" s="82" t="n"/>
      <c r="R640" s="82" t="n"/>
      <c r="S640" s="82" t="n"/>
      <c r="T640" s="82" t="n"/>
      <c r="U640" s="82" t="n"/>
      <c r="V640" s="82" t="n"/>
      <c r="W640" s="82" t="n"/>
      <c r="X640" s="82" t="n"/>
      <c r="Y640" s="82" t="n"/>
      <c r="Z640" s="82" t="n"/>
      <c r="AA640" s="82" t="n"/>
      <c r="AB640" s="82" t="n"/>
      <c r="AC640" s="82" t="n"/>
      <c r="AD640" s="82" t="n"/>
      <c r="AE640" s="82" t="n"/>
      <c r="AF640" s="82" t="n"/>
      <c r="AG640" s="82" t="n"/>
      <c r="AH640" s="82" t="n"/>
      <c r="AI640" s="82" t="n"/>
      <c r="AJ640" s="82" t="n"/>
      <c r="AK640" s="82" t="n"/>
    </row>
    <row r="641">
      <c r="B641" s="84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82" t="n"/>
      <c r="M641" s="82" t="n"/>
      <c r="N641" s="82" t="n"/>
      <c r="O641" s="82" t="n"/>
      <c r="P641" s="82" t="n"/>
      <c r="Q641" s="82" t="n"/>
      <c r="R641" s="82" t="n"/>
      <c r="S641" s="82" t="n"/>
      <c r="T641" s="82" t="n"/>
      <c r="U641" s="82" t="n"/>
      <c r="V641" s="82" t="n"/>
      <c r="W641" s="82" t="n"/>
      <c r="X641" s="82" t="n"/>
      <c r="Y641" s="82" t="n"/>
      <c r="Z641" s="82" t="n"/>
      <c r="AA641" s="82" t="n"/>
      <c r="AB641" s="82" t="n"/>
      <c r="AC641" s="82" t="n"/>
      <c r="AD641" s="82" t="n"/>
      <c r="AE641" s="82" t="n"/>
      <c r="AF641" s="82" t="n"/>
      <c r="AG641" s="82" t="n"/>
      <c r="AH641" s="82" t="n"/>
      <c r="AI641" s="82" t="n"/>
      <c r="AJ641" s="82" t="n"/>
      <c r="AK641" s="82" t="n"/>
    </row>
    <row r="642">
      <c r="B642" s="84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82" t="n"/>
      <c r="M642" s="82" t="n"/>
      <c r="N642" s="82" t="n"/>
      <c r="O642" s="82" t="n"/>
      <c r="P642" s="82" t="n"/>
      <c r="Q642" s="82" t="n"/>
      <c r="R642" s="82" t="n"/>
      <c r="S642" s="82" t="n"/>
      <c r="T642" s="82" t="n"/>
      <c r="U642" s="82" t="n"/>
      <c r="V642" s="82" t="n"/>
      <c r="W642" s="82" t="n"/>
      <c r="X642" s="82" t="n"/>
      <c r="Y642" s="82" t="n"/>
      <c r="Z642" s="82" t="n"/>
      <c r="AA642" s="82" t="n"/>
      <c r="AB642" s="82" t="n"/>
      <c r="AC642" s="82" t="n"/>
      <c r="AD642" s="82" t="n"/>
      <c r="AE642" s="82" t="n"/>
      <c r="AF642" s="82" t="n"/>
      <c r="AG642" s="82" t="n"/>
      <c r="AH642" s="82" t="n"/>
      <c r="AI642" s="82" t="n"/>
      <c r="AJ642" s="82" t="n"/>
      <c r="AK642" s="82" t="n"/>
    </row>
    <row r="643">
      <c r="B643" s="84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82" t="n"/>
      <c r="M643" s="82" t="n"/>
      <c r="N643" s="82" t="n"/>
      <c r="O643" s="82" t="n"/>
      <c r="P643" s="82" t="n"/>
      <c r="Q643" s="82" t="n"/>
      <c r="R643" s="82" t="n"/>
      <c r="S643" s="82" t="n"/>
      <c r="T643" s="82" t="n"/>
      <c r="U643" s="82" t="n"/>
      <c r="V643" s="82" t="n"/>
      <c r="W643" s="82" t="n"/>
      <c r="X643" s="82" t="n"/>
      <c r="Y643" s="82" t="n"/>
      <c r="Z643" s="82" t="n"/>
      <c r="AA643" s="82" t="n"/>
      <c r="AB643" s="82" t="n"/>
      <c r="AC643" s="82" t="n"/>
      <c r="AD643" s="82" t="n"/>
      <c r="AE643" s="82" t="n"/>
      <c r="AF643" s="82" t="n"/>
      <c r="AG643" s="82" t="n"/>
      <c r="AH643" s="82" t="n"/>
      <c r="AI643" s="82" t="n"/>
      <c r="AJ643" s="82" t="n"/>
      <c r="AK643" s="82" t="n"/>
    </row>
    <row r="644">
      <c r="B644" s="84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82" t="n"/>
      <c r="M644" s="82" t="n"/>
      <c r="N644" s="82" t="n"/>
      <c r="O644" s="82" t="n"/>
      <c r="P644" s="82" t="n"/>
      <c r="Q644" s="82" t="n"/>
      <c r="R644" s="82" t="n"/>
      <c r="S644" s="82" t="n"/>
      <c r="T644" s="82" t="n"/>
      <c r="U644" s="82" t="n"/>
      <c r="V644" s="82" t="n"/>
      <c r="W644" s="82" t="n"/>
      <c r="X644" s="82" t="n"/>
      <c r="Y644" s="82" t="n"/>
      <c r="Z644" s="82" t="n"/>
      <c r="AA644" s="82" t="n"/>
      <c r="AB644" s="82" t="n"/>
      <c r="AC644" s="82" t="n"/>
      <c r="AD644" s="82" t="n"/>
      <c r="AE644" s="82" t="n"/>
      <c r="AF644" s="82" t="n"/>
      <c r="AG644" s="82" t="n"/>
      <c r="AH644" s="82" t="n"/>
      <c r="AI644" s="82" t="n"/>
      <c r="AJ644" s="82" t="n"/>
      <c r="AK644" s="82" t="n"/>
    </row>
    <row r="645">
      <c r="B645" s="84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82" t="n"/>
      <c r="M645" s="82" t="n"/>
      <c r="N645" s="82" t="n"/>
      <c r="O645" s="82" t="n"/>
      <c r="P645" s="82" t="n"/>
      <c r="Q645" s="82" t="n"/>
      <c r="R645" s="82" t="n"/>
      <c r="S645" s="82" t="n"/>
      <c r="T645" s="82" t="n"/>
      <c r="U645" s="82" t="n"/>
      <c r="V645" s="82" t="n"/>
      <c r="W645" s="82" t="n"/>
      <c r="X645" s="82" t="n"/>
      <c r="Y645" s="82" t="n"/>
      <c r="Z645" s="82" t="n"/>
      <c r="AA645" s="82" t="n"/>
      <c r="AB645" s="82" t="n"/>
      <c r="AC645" s="82" t="n"/>
      <c r="AD645" s="82" t="n"/>
      <c r="AE645" s="82" t="n"/>
      <c r="AF645" s="82" t="n"/>
      <c r="AG645" s="82" t="n"/>
      <c r="AH645" s="82" t="n"/>
      <c r="AI645" s="82" t="n"/>
      <c r="AJ645" s="82" t="n"/>
      <c r="AK645" s="82" t="n"/>
    </row>
    <row r="646">
      <c r="B646" s="84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82" t="n"/>
      <c r="M646" s="82" t="n"/>
      <c r="N646" s="82" t="n"/>
      <c r="O646" s="82" t="n"/>
      <c r="P646" s="82" t="n"/>
      <c r="Q646" s="82" t="n"/>
      <c r="R646" s="82" t="n"/>
      <c r="S646" s="82" t="n"/>
      <c r="T646" s="82" t="n"/>
      <c r="U646" s="82" t="n"/>
      <c r="V646" s="82" t="n"/>
      <c r="W646" s="82" t="n"/>
      <c r="X646" s="82" t="n"/>
      <c r="Y646" s="82" t="n"/>
      <c r="Z646" s="82" t="n"/>
      <c r="AA646" s="82" t="n"/>
      <c r="AB646" s="82" t="n"/>
      <c r="AC646" s="82" t="n"/>
      <c r="AD646" s="82" t="n"/>
      <c r="AE646" s="82" t="n"/>
      <c r="AF646" s="82" t="n"/>
      <c r="AG646" s="82" t="n"/>
      <c r="AH646" s="82" t="n"/>
      <c r="AI646" s="82" t="n"/>
      <c r="AJ646" s="82" t="n"/>
      <c r="AK646" s="82" t="n"/>
    </row>
    <row r="647">
      <c r="B647" s="84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82" t="n"/>
      <c r="M647" s="82" t="n"/>
      <c r="N647" s="82" t="n"/>
      <c r="O647" s="82" t="n"/>
      <c r="P647" s="82" t="n"/>
      <c r="Q647" s="82" t="n"/>
      <c r="R647" s="82" t="n"/>
      <c r="S647" s="82" t="n"/>
      <c r="T647" s="82" t="n"/>
      <c r="U647" s="82" t="n"/>
      <c r="V647" s="82" t="n"/>
      <c r="W647" s="82" t="n"/>
      <c r="X647" s="82" t="n"/>
      <c r="Y647" s="82" t="n"/>
      <c r="Z647" s="82" t="n"/>
      <c r="AA647" s="82" t="n"/>
      <c r="AB647" s="82" t="n"/>
      <c r="AC647" s="82" t="n"/>
      <c r="AD647" s="82" t="n"/>
      <c r="AE647" s="82" t="n"/>
      <c r="AF647" s="82" t="n"/>
      <c r="AG647" s="82" t="n"/>
      <c r="AH647" s="82" t="n"/>
      <c r="AI647" s="82" t="n"/>
      <c r="AJ647" s="82" t="n"/>
      <c r="AK647" s="82" t="n"/>
    </row>
    <row r="648">
      <c r="B648" s="84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82" t="n"/>
      <c r="M648" s="82" t="n"/>
      <c r="N648" s="82" t="n"/>
      <c r="O648" s="82" t="n"/>
      <c r="P648" s="82" t="n"/>
      <c r="Q648" s="82" t="n"/>
      <c r="R648" s="82" t="n"/>
      <c r="S648" s="82" t="n"/>
      <c r="T648" s="82" t="n"/>
      <c r="U648" s="82" t="n"/>
      <c r="V648" s="82" t="n"/>
      <c r="W648" s="82" t="n"/>
      <c r="X648" s="82" t="n"/>
      <c r="Y648" s="82" t="n"/>
      <c r="Z648" s="82" t="n"/>
      <c r="AA648" s="82" t="n"/>
      <c r="AB648" s="82" t="n"/>
      <c r="AC648" s="82" t="n"/>
      <c r="AD648" s="82" t="n"/>
      <c r="AE648" s="82" t="n"/>
      <c r="AF648" s="82" t="n"/>
      <c r="AG648" s="82" t="n"/>
      <c r="AH648" s="82" t="n"/>
      <c r="AI648" s="82" t="n"/>
      <c r="AJ648" s="82" t="n"/>
      <c r="AK648" s="82" t="n"/>
    </row>
    <row r="649">
      <c r="B649" s="84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82" t="n"/>
      <c r="M649" s="82" t="n"/>
      <c r="N649" s="82" t="n"/>
      <c r="O649" s="82" t="n"/>
      <c r="P649" s="82" t="n"/>
      <c r="Q649" s="82" t="n"/>
      <c r="R649" s="82" t="n"/>
      <c r="S649" s="82" t="n"/>
      <c r="T649" s="82" t="n"/>
      <c r="U649" s="82" t="n"/>
      <c r="V649" s="82" t="n"/>
      <c r="W649" s="82" t="n"/>
      <c r="X649" s="82" t="n"/>
      <c r="Y649" s="82" t="n"/>
      <c r="Z649" s="82" t="n"/>
      <c r="AA649" s="82" t="n"/>
      <c r="AB649" s="82" t="n"/>
      <c r="AC649" s="82" t="n"/>
      <c r="AD649" s="82" t="n"/>
      <c r="AE649" s="82" t="n"/>
      <c r="AF649" s="82" t="n"/>
      <c r="AG649" s="82" t="n"/>
      <c r="AH649" s="82" t="n"/>
      <c r="AI649" s="82" t="n"/>
      <c r="AJ649" s="82" t="n"/>
      <c r="AK649" s="82" t="n"/>
    </row>
    <row r="650">
      <c r="B650" s="84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82" t="n"/>
      <c r="M650" s="82" t="n"/>
      <c r="N650" s="82" t="n"/>
      <c r="O650" s="82" t="n"/>
      <c r="P650" s="82" t="n"/>
      <c r="Q650" s="82" t="n"/>
      <c r="R650" s="82" t="n"/>
      <c r="S650" s="82" t="n"/>
      <c r="T650" s="82" t="n"/>
      <c r="U650" s="82" t="n"/>
      <c r="V650" s="82" t="n"/>
      <c r="W650" s="82" t="n"/>
      <c r="X650" s="82" t="n"/>
      <c r="Y650" s="82" t="n"/>
      <c r="Z650" s="82" t="n"/>
      <c r="AA650" s="82" t="n"/>
      <c r="AB650" s="82" t="n"/>
      <c r="AC650" s="82" t="n"/>
      <c r="AD650" s="82" t="n"/>
      <c r="AE650" s="82" t="n"/>
      <c r="AF650" s="82" t="n"/>
      <c r="AG650" s="82" t="n"/>
      <c r="AH650" s="82" t="n"/>
      <c r="AI650" s="82" t="n"/>
      <c r="AJ650" s="82" t="n"/>
      <c r="AK650" s="82" t="n"/>
    </row>
    <row r="651">
      <c r="B651" s="84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82" t="n"/>
      <c r="M651" s="82" t="n"/>
      <c r="N651" s="82" t="n"/>
      <c r="O651" s="82" t="n"/>
      <c r="P651" s="82" t="n"/>
      <c r="Q651" s="82" t="n"/>
      <c r="R651" s="82" t="n"/>
      <c r="S651" s="82" t="n"/>
      <c r="T651" s="82" t="n"/>
      <c r="U651" s="82" t="n"/>
      <c r="V651" s="82" t="n"/>
      <c r="W651" s="82" t="n"/>
      <c r="X651" s="82" t="n"/>
      <c r="Y651" s="82" t="n"/>
      <c r="Z651" s="82" t="n"/>
      <c r="AA651" s="82" t="n"/>
      <c r="AB651" s="82" t="n"/>
      <c r="AC651" s="82" t="n"/>
      <c r="AD651" s="82" t="n"/>
      <c r="AE651" s="82" t="n"/>
      <c r="AF651" s="82" t="n"/>
      <c r="AG651" s="82" t="n"/>
      <c r="AH651" s="82" t="n"/>
      <c r="AI651" s="82" t="n"/>
      <c r="AJ651" s="82" t="n"/>
      <c r="AK651" s="82" t="n"/>
    </row>
    <row r="652">
      <c r="B652" s="84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82" t="n"/>
      <c r="M652" s="82" t="n"/>
      <c r="N652" s="82" t="n"/>
      <c r="O652" s="82" t="n"/>
      <c r="P652" s="82" t="n"/>
      <c r="Q652" s="82" t="n"/>
      <c r="R652" s="82" t="n"/>
      <c r="S652" s="82" t="n"/>
      <c r="T652" s="82" t="n"/>
      <c r="U652" s="82" t="n"/>
      <c r="V652" s="82" t="n"/>
      <c r="W652" s="82" t="n"/>
      <c r="X652" s="82" t="n"/>
      <c r="Y652" s="82" t="n"/>
      <c r="Z652" s="82" t="n"/>
      <c r="AA652" s="82" t="n"/>
      <c r="AB652" s="82" t="n"/>
      <c r="AC652" s="82" t="n"/>
      <c r="AD652" s="82" t="n"/>
      <c r="AE652" s="82" t="n"/>
      <c r="AF652" s="82" t="n"/>
      <c r="AG652" s="82" t="n"/>
      <c r="AH652" s="82" t="n"/>
      <c r="AI652" s="82" t="n"/>
      <c r="AJ652" s="82" t="n"/>
      <c r="AK652" s="82" t="n"/>
    </row>
    <row r="653">
      <c r="B653" s="84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82" t="n"/>
      <c r="M653" s="82" t="n"/>
      <c r="N653" s="82" t="n"/>
      <c r="O653" s="82" t="n"/>
      <c r="P653" s="82" t="n"/>
      <c r="Q653" s="82" t="n"/>
      <c r="R653" s="82" t="n"/>
      <c r="S653" s="82" t="n"/>
      <c r="T653" s="82" t="n"/>
      <c r="U653" s="82" t="n"/>
      <c r="V653" s="82" t="n"/>
      <c r="W653" s="82" t="n"/>
      <c r="X653" s="82" t="n"/>
      <c r="Y653" s="82" t="n"/>
      <c r="Z653" s="82" t="n"/>
      <c r="AA653" s="82" t="n"/>
      <c r="AB653" s="82" t="n"/>
      <c r="AC653" s="82" t="n"/>
      <c r="AD653" s="82" t="n"/>
      <c r="AE653" s="82" t="n"/>
      <c r="AF653" s="82" t="n"/>
      <c r="AG653" s="82" t="n"/>
      <c r="AH653" s="82" t="n"/>
      <c r="AI653" s="82" t="n"/>
      <c r="AJ653" s="82" t="n"/>
      <c r="AK653" s="82" t="n"/>
    </row>
    <row r="654">
      <c r="B654" s="84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82" t="n"/>
      <c r="M654" s="82" t="n"/>
      <c r="N654" s="82" t="n"/>
      <c r="O654" s="82" t="n"/>
      <c r="P654" s="82" t="n"/>
      <c r="Q654" s="82" t="n"/>
      <c r="R654" s="82" t="n"/>
      <c r="S654" s="82" t="n"/>
      <c r="T654" s="82" t="n"/>
      <c r="U654" s="82" t="n"/>
      <c r="V654" s="82" t="n"/>
      <c r="W654" s="82" t="n"/>
      <c r="X654" s="82" t="n"/>
      <c r="Y654" s="82" t="n"/>
      <c r="Z654" s="82" t="n"/>
      <c r="AA654" s="82" t="n"/>
      <c r="AB654" s="82" t="n"/>
      <c r="AC654" s="82" t="n"/>
      <c r="AD654" s="82" t="n"/>
      <c r="AE654" s="82" t="n"/>
      <c r="AF654" s="82" t="n"/>
      <c r="AG654" s="82" t="n"/>
      <c r="AH654" s="82" t="n"/>
      <c r="AI654" s="82" t="n"/>
      <c r="AJ654" s="82" t="n"/>
      <c r="AK654" s="82" t="n"/>
    </row>
    <row r="655">
      <c r="B655" s="84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82" t="n"/>
      <c r="M655" s="82" t="n"/>
      <c r="N655" s="82" t="n"/>
      <c r="O655" s="82" t="n"/>
      <c r="P655" s="82" t="n"/>
      <c r="Q655" s="82" t="n"/>
      <c r="R655" s="82" t="n"/>
      <c r="S655" s="82" t="n"/>
      <c r="T655" s="82" t="n"/>
      <c r="U655" s="82" t="n"/>
      <c r="V655" s="82" t="n"/>
      <c r="W655" s="82" t="n"/>
      <c r="X655" s="82" t="n"/>
      <c r="Y655" s="82" t="n"/>
      <c r="Z655" s="82" t="n"/>
      <c r="AA655" s="82" t="n"/>
      <c r="AB655" s="82" t="n"/>
      <c r="AC655" s="82" t="n"/>
      <c r="AD655" s="82" t="n"/>
      <c r="AE655" s="82" t="n"/>
      <c r="AF655" s="82" t="n"/>
      <c r="AG655" s="82" t="n"/>
      <c r="AH655" s="82" t="n"/>
      <c r="AI655" s="82" t="n"/>
      <c r="AJ655" s="82" t="n"/>
      <c r="AK655" s="82" t="n"/>
    </row>
    <row r="656">
      <c r="B656" s="84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82" t="n"/>
      <c r="M656" s="82" t="n"/>
      <c r="N656" s="82" t="n"/>
      <c r="O656" s="82" t="n"/>
      <c r="P656" s="82" t="n"/>
      <c r="Q656" s="82" t="n"/>
      <c r="R656" s="82" t="n"/>
      <c r="S656" s="82" t="n"/>
      <c r="T656" s="82" t="n"/>
      <c r="U656" s="82" t="n"/>
      <c r="V656" s="82" t="n"/>
      <c r="W656" s="82" t="n"/>
      <c r="X656" s="82" t="n"/>
      <c r="Y656" s="82" t="n"/>
      <c r="Z656" s="82" t="n"/>
      <c r="AA656" s="82" t="n"/>
      <c r="AB656" s="82" t="n"/>
      <c r="AC656" s="82" t="n"/>
      <c r="AD656" s="82" t="n"/>
      <c r="AE656" s="82" t="n"/>
      <c r="AF656" s="82" t="n"/>
      <c r="AG656" s="82" t="n"/>
      <c r="AH656" s="82" t="n"/>
      <c r="AI656" s="82" t="n"/>
      <c r="AJ656" s="82" t="n"/>
      <c r="AK656" s="82" t="n"/>
    </row>
    <row r="657">
      <c r="B657" s="84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82" t="n"/>
      <c r="M657" s="82" t="n"/>
      <c r="N657" s="82" t="n"/>
      <c r="O657" s="82" t="n"/>
      <c r="P657" s="82" t="n"/>
      <c r="Q657" s="82" t="n"/>
      <c r="R657" s="82" t="n"/>
      <c r="S657" s="82" t="n"/>
      <c r="T657" s="82" t="n"/>
      <c r="U657" s="82" t="n"/>
      <c r="V657" s="82" t="n"/>
      <c r="W657" s="82" t="n"/>
      <c r="X657" s="82" t="n"/>
      <c r="Y657" s="82" t="n"/>
      <c r="Z657" s="82" t="n"/>
      <c r="AA657" s="82" t="n"/>
      <c r="AB657" s="82" t="n"/>
      <c r="AC657" s="82" t="n"/>
      <c r="AD657" s="82" t="n"/>
      <c r="AE657" s="82" t="n"/>
      <c r="AF657" s="82" t="n"/>
      <c r="AG657" s="82" t="n"/>
      <c r="AH657" s="82" t="n"/>
      <c r="AI657" s="82" t="n"/>
      <c r="AJ657" s="82" t="n"/>
      <c r="AK657" s="82" t="n"/>
    </row>
    <row r="658">
      <c r="B658" s="84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82" t="n"/>
      <c r="M658" s="82" t="n"/>
      <c r="N658" s="82" t="n"/>
      <c r="O658" s="82" t="n"/>
      <c r="P658" s="82" t="n"/>
      <c r="Q658" s="82" t="n"/>
      <c r="R658" s="82" t="n"/>
      <c r="S658" s="82" t="n"/>
      <c r="T658" s="82" t="n"/>
      <c r="U658" s="82" t="n"/>
      <c r="V658" s="82" t="n"/>
      <c r="W658" s="82" t="n"/>
      <c r="X658" s="82" t="n"/>
      <c r="Y658" s="82" t="n"/>
      <c r="Z658" s="82" t="n"/>
      <c r="AA658" s="82" t="n"/>
      <c r="AB658" s="82" t="n"/>
      <c r="AC658" s="82" t="n"/>
      <c r="AD658" s="82" t="n"/>
      <c r="AE658" s="82" t="n"/>
      <c r="AF658" s="82" t="n"/>
      <c r="AG658" s="82" t="n"/>
      <c r="AH658" s="82" t="n"/>
      <c r="AI658" s="82" t="n"/>
      <c r="AJ658" s="82" t="n"/>
      <c r="AK658" s="82" t="n"/>
    </row>
    <row r="659">
      <c r="B659" s="85" t="n"/>
      <c r="C659" s="86" t="n"/>
      <c r="D659" s="86" t="n"/>
      <c r="E659" s="86" t="n"/>
      <c r="F659" s="86" t="n"/>
      <c r="G659" s="86" t="n"/>
      <c r="H659" s="86" t="n"/>
      <c r="I659" s="86" t="n"/>
      <c r="J659" s="86" t="n"/>
      <c r="K659" s="8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LXxN2ZW0GQSt5ELIyb0TQ==" formatRows="1" sort="1" spinCount="100000" hashValue="RnejKhc7Xyxy7Gs6qLcKADEltUAYAzMrHHtJBGzTQGzOAnHB/1aZr5jrKVWrqj1NdsOfXFH7v1cOh44V0XnJCg=="/>
  <mergeCells count="1">
    <mergeCell ref="B2:L2"/>
  </mergeCells>
  <pageMargins left="0.3149606299212598" right="0.3149606299212598" top="0.5905511811023623" bottom="0.5905511811023623" header="0.3149606299212598" footer="0.3149606299212598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U1275"/>
  <sheetViews>
    <sheetView showGridLines="0" showZeros="0" tabSelected="1" view="pageBreakPreview" topLeftCell="A8" zoomScale="77" zoomScaleNormal="70" zoomScaleSheetLayoutView="77" workbookViewId="0">
      <selection activeCell="D24" sqref="D24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5"/>
    <col width="6.28515625" customWidth="1" min="26" max="26"/>
    <col width="5.28515625" customWidth="1" min="27" max="27"/>
    <col width="6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4.5703125" customWidth="1" min="35" max="35"/>
    <col width="15.28515625" customWidth="1" min="36" max="36"/>
    <col width="4" customWidth="1" min="37" max="37"/>
    <col width="58.7109375" customWidth="1" min="38" max="38"/>
    <col width="76.7109375" customWidth="1" min="39" max="39"/>
    <col width="140.5703125" customWidth="1" style="60" min="40" max="40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</row>
    <row r="3" ht="20.1" customHeight="1" thickBot="1">
      <c r="B3" s="62" t="n"/>
      <c r="C3" s="417" t="inlineStr">
        <is>
          <t>Informações das Unidades Geradoras (UG): (PREENCHER CONFORME O TIPO DE FONTE DE GERAÇÃO)</t>
        </is>
      </c>
      <c r="D3" s="415" t="n"/>
      <c r="E3" s="415" t="n"/>
      <c r="F3" s="415" t="n"/>
      <c r="G3" s="415" t="n"/>
      <c r="H3" s="415" t="n"/>
      <c r="I3" s="415" t="n"/>
      <c r="J3" s="415" t="n"/>
      <c r="K3" s="415" t="n"/>
      <c r="L3" s="415" t="n"/>
      <c r="M3" s="415" t="n"/>
      <c r="N3" s="415" t="n"/>
      <c r="O3" s="415" t="n"/>
      <c r="P3" s="415" t="n"/>
      <c r="Q3" s="415" t="n"/>
      <c r="R3" s="415" t="n"/>
      <c r="S3" s="415" t="n"/>
      <c r="T3" s="415" t="n"/>
      <c r="U3" s="415" t="n"/>
      <c r="V3" s="415" t="n"/>
      <c r="W3" s="415" t="n"/>
      <c r="X3" s="415" t="n"/>
      <c r="Y3" s="415" t="n"/>
      <c r="Z3" s="415" t="n"/>
      <c r="AA3" s="415" t="n"/>
      <c r="AB3" s="415" t="n"/>
      <c r="AC3" s="415" t="n"/>
      <c r="AD3" s="415" t="n"/>
      <c r="AE3" s="416" t="n"/>
      <c r="AF3" s="1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59" t="n"/>
      <c r="AT3" s="59" t="n"/>
      <c r="AU3" s="59" t="n"/>
      <c r="AV3" s="59" t="n"/>
      <c r="AW3" s="59" t="n"/>
      <c r="AX3" s="59" t="n"/>
      <c r="AY3" s="59" t="n"/>
      <c r="AZ3" s="59" t="n"/>
      <c r="BA3" s="59" t="n"/>
      <c r="BB3" s="59" t="n"/>
      <c r="BC3" s="59" t="n"/>
      <c r="BD3" s="59" t="n"/>
      <c r="BE3" s="59" t="n"/>
      <c r="BF3" s="59" t="n"/>
      <c r="BG3" s="59" t="n"/>
      <c r="BH3" s="59" t="n"/>
      <c r="BI3" s="59" t="n"/>
      <c r="BJ3" s="59" t="n"/>
      <c r="BK3" s="59" t="n"/>
      <c r="BL3" s="59" t="n"/>
      <c r="BM3" s="59" t="n"/>
      <c r="BN3" s="59" t="n"/>
      <c r="BO3" s="59" t="n"/>
      <c r="BP3" s="59" t="n"/>
      <c r="BQ3" s="59" t="n"/>
      <c r="BR3" s="59" t="n"/>
      <c r="BS3" s="59" t="n"/>
      <c r="BT3" s="59" t="n"/>
      <c r="BU3" s="59" t="n"/>
    </row>
    <row r="4" ht="9.949999999999999" customHeight="1">
      <c r="B4" s="62" t="n"/>
      <c r="C4" s="2" t="n"/>
      <c r="D4" s="2" t="n"/>
      <c r="E4" s="6" t="n"/>
      <c r="F4" s="28" t="n"/>
      <c r="G4" s="2" t="n"/>
      <c r="H4" s="30" t="n"/>
      <c r="I4" s="2" t="n"/>
      <c r="J4" s="30" t="n"/>
      <c r="K4" s="2" t="n"/>
      <c r="L4" s="30" t="n"/>
      <c r="M4" s="2" t="n"/>
      <c r="N4" s="30" t="n"/>
      <c r="O4" s="2" t="n"/>
      <c r="P4" s="30" t="n"/>
      <c r="Q4" s="2" t="n"/>
      <c r="R4" s="30" t="n"/>
      <c r="S4" s="2" t="n"/>
      <c r="T4" s="30" t="n"/>
      <c r="U4" s="2" t="n"/>
      <c r="V4" s="30" t="n"/>
      <c r="W4" s="2" t="n"/>
      <c r="X4" s="30" t="n"/>
      <c r="Y4" s="2" t="n"/>
      <c r="Z4" s="30" t="n"/>
      <c r="AA4" s="2" t="n"/>
      <c r="AB4" s="30" t="n"/>
      <c r="AC4" s="2" t="n"/>
      <c r="AD4" s="30" t="n"/>
      <c r="AE4" s="2" t="n"/>
      <c r="AF4" s="1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20.1" customHeight="1">
      <c r="B5" s="62" t="n"/>
      <c r="C5" s="168" t="inlineStr">
        <is>
          <t xml:space="preserve">1. Solar Fotovoltaica </t>
        </is>
      </c>
      <c r="D5" s="418" t="n"/>
      <c r="E5" s="418" t="n"/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8" t="n"/>
      <c r="P5" s="418" t="n"/>
      <c r="Q5" s="418" t="n"/>
      <c r="R5" s="418" t="n"/>
      <c r="S5" s="418" t="n"/>
      <c r="T5" s="418" t="n"/>
      <c r="U5" s="418" t="n"/>
      <c r="V5" s="418" t="n"/>
      <c r="W5" s="418" t="n"/>
      <c r="X5" s="418" t="n"/>
      <c r="Y5" s="418" t="n"/>
      <c r="Z5" s="418" t="n"/>
      <c r="AA5" s="418" t="n"/>
      <c r="AB5" s="418" t="n"/>
      <c r="AC5" s="418" t="n"/>
      <c r="AD5" s="418" t="n"/>
      <c r="AE5" s="418" t="n"/>
      <c r="AF5" s="1" t="n"/>
      <c r="AH5" s="59" t="n"/>
      <c r="AI5" s="59" t="n"/>
      <c r="AJ5" s="59" t="n"/>
      <c r="AK5" s="59" t="n"/>
      <c r="AL5" s="59" t="n"/>
      <c r="AM5" s="59" t="n"/>
      <c r="AN5" s="59" t="n"/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20.1" customHeight="1">
      <c r="B6" s="62" t="n"/>
      <c r="C6" s="77" t="inlineStr">
        <is>
          <t xml:space="preserve">Item </t>
        </is>
      </c>
      <c r="D6" s="239" t="inlineStr">
        <is>
          <t>Potência do Módulo (W)</t>
        </is>
      </c>
      <c r="E6" s="419" t="n"/>
      <c r="F6" s="419" t="n"/>
      <c r="G6" s="420" t="n"/>
      <c r="H6" s="239" t="inlineStr">
        <is>
          <t>Quantidade</t>
        </is>
      </c>
      <c r="I6" s="419" t="n"/>
      <c r="J6" s="420" t="n"/>
      <c r="K6" s="171" t="inlineStr">
        <is>
          <t>Potência de Pico (kWp):</t>
        </is>
      </c>
      <c r="L6" s="419" t="n"/>
      <c r="M6" s="419" t="n"/>
      <c r="N6" s="419" t="n"/>
      <c r="O6" s="420" t="n"/>
      <c r="P6" s="171" t="inlineStr">
        <is>
          <t>Área do arranjo (m²):</t>
        </is>
      </c>
      <c r="Q6" s="419" t="n"/>
      <c r="R6" s="419" t="n"/>
      <c r="S6" s="420" t="n"/>
      <c r="T6" s="171" t="inlineStr">
        <is>
          <t>Fabricante(s) dos Módulos</t>
        </is>
      </c>
      <c r="U6" s="419" t="n"/>
      <c r="V6" s="419" t="n"/>
      <c r="W6" s="419" t="n"/>
      <c r="X6" s="419" t="n"/>
      <c r="Y6" s="419" t="n"/>
      <c r="Z6" s="420" t="n"/>
      <c r="AA6" s="171" t="inlineStr">
        <is>
          <t>Modelo</t>
        </is>
      </c>
      <c r="AB6" s="419" t="n"/>
      <c r="AC6" s="419" t="n"/>
      <c r="AD6" s="419" t="n"/>
      <c r="AE6" s="420" t="n"/>
      <c r="AF6" s="1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>
      <c r="B7" s="62" t="n"/>
      <c r="C7" s="159" t="n">
        <v>1</v>
      </c>
      <c r="D7" s="421" t="n">
        <v>700</v>
      </c>
      <c r="E7" s="422" t="n"/>
      <c r="F7" s="422" t="n"/>
      <c r="G7" s="423" t="n"/>
      <c r="H7" s="421" t="n">
        <v>10</v>
      </c>
      <c r="I7" s="422" t="n"/>
      <c r="J7" s="423" t="n"/>
      <c r="K7" s="424">
        <f>IFERROR((D7*H7)/1000,"")</f>
        <v/>
      </c>
      <c r="L7" s="425" t="n"/>
      <c r="M7" s="425" t="n"/>
      <c r="N7" s="425" t="n"/>
      <c r="O7" s="426" t="n"/>
      <c r="P7" s="427" t="n">
        <v>30</v>
      </c>
      <c r="Q7" s="422" t="n"/>
      <c r="R7" s="422" t="n"/>
      <c r="S7" s="423" t="n"/>
      <c r="T7" s="428" t="inlineStr">
        <is>
          <t>HONOR</t>
        </is>
      </c>
      <c r="U7" s="429" t="n"/>
      <c r="V7" s="429" t="n"/>
      <c r="W7" s="429" t="n"/>
      <c r="X7" s="429" t="n"/>
      <c r="Y7" s="429" t="n"/>
      <c r="Z7" s="430" t="n"/>
      <c r="AA7" s="148" t="inlineStr">
        <is>
          <t>HY-M12/132G</t>
        </is>
      </c>
      <c r="AB7" s="422" t="n"/>
      <c r="AC7" s="422" t="n"/>
      <c r="AD7" s="422" t="n"/>
      <c r="AE7" s="423" t="n"/>
      <c r="AF7" s="1" t="n"/>
      <c r="AH7" s="59" t="n"/>
      <c r="AI7" s="59" t="n"/>
      <c r="AJ7" s="59" t="n"/>
      <c r="AK7" s="59" t="n"/>
      <c r="AL7" s="59" t="n"/>
      <c r="AM7" s="59" t="n"/>
      <c r="AN7" s="59" t="n"/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20.1" customHeight="1">
      <c r="B8" s="62" t="n"/>
      <c r="C8" s="159" t="n">
        <v>2</v>
      </c>
      <c r="D8" s="421" t="n"/>
      <c r="E8" s="422" t="n"/>
      <c r="F8" s="422" t="n"/>
      <c r="G8" s="423" t="n"/>
      <c r="H8" s="421" t="n"/>
      <c r="I8" s="422" t="n"/>
      <c r="J8" s="423" t="n"/>
      <c r="K8" s="424">
        <f>IFERROR((D8*H8)/1000,"")</f>
        <v/>
      </c>
      <c r="L8" s="425" t="n"/>
      <c r="M8" s="425" t="n"/>
      <c r="N8" s="425" t="n"/>
      <c r="O8" s="426" t="n"/>
      <c r="P8" s="427" t="n"/>
      <c r="Q8" s="422" t="n"/>
      <c r="R8" s="422" t="n"/>
      <c r="S8" s="423" t="n"/>
      <c r="T8" s="428" t="n"/>
      <c r="U8" s="429" t="n"/>
      <c r="V8" s="429" t="n"/>
      <c r="W8" s="429" t="n"/>
      <c r="X8" s="429" t="n"/>
      <c r="Y8" s="429" t="n"/>
      <c r="Z8" s="430" t="n"/>
      <c r="AA8" s="148" t="n"/>
      <c r="AB8" s="422" t="n"/>
      <c r="AC8" s="422" t="n"/>
      <c r="AD8" s="422" t="n"/>
      <c r="AE8" s="423" t="n"/>
      <c r="AF8" s="1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159" t="n">
        <v>3</v>
      </c>
      <c r="D9" s="421" t="n"/>
      <c r="E9" s="422" t="n"/>
      <c r="F9" s="422" t="n"/>
      <c r="G9" s="423" t="n"/>
      <c r="H9" s="421" t="n"/>
      <c r="I9" s="422" t="n"/>
      <c r="J9" s="423" t="n"/>
      <c r="K9" s="424">
        <f>IFERROR((D9*H9)/1000,"")</f>
        <v/>
      </c>
      <c r="L9" s="425" t="n"/>
      <c r="M9" s="425" t="n"/>
      <c r="N9" s="425" t="n"/>
      <c r="O9" s="426" t="n"/>
      <c r="P9" s="427" t="n"/>
      <c r="Q9" s="422" t="n"/>
      <c r="R9" s="422" t="n"/>
      <c r="S9" s="423" t="n"/>
      <c r="T9" s="428" t="n"/>
      <c r="U9" s="429" t="n"/>
      <c r="V9" s="429" t="n"/>
      <c r="W9" s="429" t="n"/>
      <c r="X9" s="429" t="n"/>
      <c r="Y9" s="429" t="n"/>
      <c r="Z9" s="430" t="n"/>
      <c r="AA9" s="148" t="n"/>
      <c r="AB9" s="422" t="n"/>
      <c r="AC9" s="422" t="n"/>
      <c r="AD9" s="422" t="n"/>
      <c r="AE9" s="423" t="n"/>
      <c r="AF9" s="1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159" t="n">
        <v>4</v>
      </c>
      <c r="D10" s="421" t="n"/>
      <c r="E10" s="422" t="n"/>
      <c r="F10" s="422" t="n"/>
      <c r="G10" s="423" t="n"/>
      <c r="H10" s="421" t="n"/>
      <c r="I10" s="422" t="n"/>
      <c r="J10" s="423" t="n"/>
      <c r="K10" s="424">
        <f>IFERROR((D10*H10)/1000,"")</f>
        <v/>
      </c>
      <c r="L10" s="425" t="n"/>
      <c r="M10" s="425" t="n"/>
      <c r="N10" s="425" t="n"/>
      <c r="O10" s="426" t="n"/>
      <c r="P10" s="427" t="n"/>
      <c r="Q10" s="422" t="n"/>
      <c r="R10" s="422" t="n"/>
      <c r="S10" s="423" t="n"/>
      <c r="T10" s="428" t="n"/>
      <c r="U10" s="429" t="n"/>
      <c r="V10" s="429" t="n"/>
      <c r="W10" s="429" t="n"/>
      <c r="X10" s="429" t="n"/>
      <c r="Y10" s="429" t="n"/>
      <c r="Z10" s="430" t="n"/>
      <c r="AA10" s="148" t="n"/>
      <c r="AB10" s="422" t="n"/>
      <c r="AC10" s="422" t="n"/>
      <c r="AD10" s="422" t="n"/>
      <c r="AE10" s="423" t="n"/>
      <c r="AF10" s="1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20.1" customHeight="1">
      <c r="B11" s="62" t="n"/>
      <c r="C11" s="159" t="n">
        <v>5</v>
      </c>
      <c r="D11" s="421" t="n"/>
      <c r="E11" s="422" t="n"/>
      <c r="F11" s="422" t="n"/>
      <c r="G11" s="423" t="n"/>
      <c r="H11" s="421" t="n"/>
      <c r="I11" s="422" t="n"/>
      <c r="J11" s="423" t="n"/>
      <c r="K11" s="424">
        <f>IFERROR((D11*H11)/1000,"")</f>
        <v/>
      </c>
      <c r="L11" s="425" t="n"/>
      <c r="M11" s="425" t="n"/>
      <c r="N11" s="425" t="n"/>
      <c r="O11" s="426" t="n"/>
      <c r="P11" s="427" t="n"/>
      <c r="Q11" s="422" t="n"/>
      <c r="R11" s="422" t="n"/>
      <c r="S11" s="423" t="n"/>
      <c r="T11" s="428" t="n"/>
      <c r="U11" s="429" t="n"/>
      <c r="V11" s="429" t="n"/>
      <c r="W11" s="429" t="n"/>
      <c r="X11" s="429" t="n"/>
      <c r="Y11" s="429" t="n"/>
      <c r="Z11" s="430" t="n"/>
      <c r="AA11" s="148" t="n"/>
      <c r="AB11" s="422" t="n"/>
      <c r="AC11" s="422" t="n"/>
      <c r="AD11" s="422" t="n"/>
      <c r="AE11" s="423" t="n"/>
      <c r="AF11" s="1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20.1" customHeight="1">
      <c r="B12" s="62" t="n"/>
      <c r="C12" s="159" t="n">
        <v>6</v>
      </c>
      <c r="D12" s="421" t="n"/>
      <c r="E12" s="422" t="n"/>
      <c r="F12" s="422" t="n"/>
      <c r="G12" s="423" t="n"/>
      <c r="H12" s="421" t="n"/>
      <c r="I12" s="422" t="n"/>
      <c r="J12" s="423" t="n"/>
      <c r="K12" s="424">
        <f>IFERROR((D12*H12)/1000,"")</f>
        <v/>
      </c>
      <c r="L12" s="425" t="n"/>
      <c r="M12" s="425" t="n"/>
      <c r="N12" s="425" t="n"/>
      <c r="O12" s="426" t="n"/>
      <c r="P12" s="427" t="n"/>
      <c r="Q12" s="422" t="n"/>
      <c r="R12" s="422" t="n"/>
      <c r="S12" s="423" t="n"/>
      <c r="T12" s="428" t="n"/>
      <c r="U12" s="429" t="n"/>
      <c r="V12" s="429" t="n"/>
      <c r="W12" s="429" t="n"/>
      <c r="X12" s="429" t="n"/>
      <c r="Y12" s="429" t="n"/>
      <c r="Z12" s="430" t="n"/>
      <c r="AA12" s="148" t="n"/>
      <c r="AB12" s="422" t="n"/>
      <c r="AC12" s="422" t="n"/>
      <c r="AD12" s="422" t="n"/>
      <c r="AE12" s="423" t="n"/>
      <c r="AF12" s="1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159" t="n">
        <v>7</v>
      </c>
      <c r="D13" s="421" t="n"/>
      <c r="E13" s="422" t="n"/>
      <c r="F13" s="422" t="n"/>
      <c r="G13" s="423" t="n"/>
      <c r="H13" s="421" t="n"/>
      <c r="I13" s="422" t="n"/>
      <c r="J13" s="423" t="n"/>
      <c r="K13" s="424">
        <f>IFERROR((D13*H13)/1000,"")</f>
        <v/>
      </c>
      <c r="L13" s="425" t="n"/>
      <c r="M13" s="425" t="n"/>
      <c r="N13" s="425" t="n"/>
      <c r="O13" s="426" t="n"/>
      <c r="P13" s="431" t="n"/>
      <c r="Q13" s="432" t="n"/>
      <c r="R13" s="432" t="n"/>
      <c r="S13" s="433" t="n"/>
      <c r="T13" s="233" t="n"/>
      <c r="U13" s="234" t="n"/>
      <c r="V13" s="234" t="n"/>
      <c r="W13" s="234" t="n"/>
      <c r="X13" s="234" t="n"/>
      <c r="Y13" s="234" t="n"/>
      <c r="Z13" s="235" t="n"/>
      <c r="AA13" s="150" t="n"/>
      <c r="AB13" s="151" t="n"/>
      <c r="AC13" s="151" t="n"/>
      <c r="AD13" s="151" t="n"/>
      <c r="AE13" s="152" t="n"/>
      <c r="AF13" s="1" t="n"/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20.1" customHeight="1">
      <c r="B14" s="62" t="n"/>
      <c r="C14" s="159" t="n">
        <v>8</v>
      </c>
      <c r="D14" s="421" t="n"/>
      <c r="E14" s="422" t="n"/>
      <c r="F14" s="422" t="n"/>
      <c r="G14" s="423" t="n"/>
      <c r="H14" s="421" t="n"/>
      <c r="I14" s="422" t="n"/>
      <c r="J14" s="423" t="n"/>
      <c r="K14" s="424">
        <f>IFERROR((D14*H14)/1000,"")</f>
        <v/>
      </c>
      <c r="L14" s="425" t="n"/>
      <c r="M14" s="425" t="n"/>
      <c r="N14" s="425" t="n"/>
      <c r="O14" s="426" t="n"/>
      <c r="P14" s="431" t="n"/>
      <c r="Q14" s="432" t="n"/>
      <c r="R14" s="432" t="n"/>
      <c r="S14" s="433" t="n"/>
      <c r="T14" s="233" t="n"/>
      <c r="U14" s="234" t="n"/>
      <c r="V14" s="234" t="n"/>
      <c r="W14" s="234" t="n"/>
      <c r="X14" s="234" t="n"/>
      <c r="Y14" s="234" t="n"/>
      <c r="Z14" s="235" t="n"/>
      <c r="AA14" s="150" t="n"/>
      <c r="AB14" s="151" t="n"/>
      <c r="AC14" s="151" t="n"/>
      <c r="AD14" s="151" t="n"/>
      <c r="AE14" s="152" t="n"/>
      <c r="AF14" s="1" t="n"/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59" t="n">
        <v>9</v>
      </c>
      <c r="D15" s="421" t="n"/>
      <c r="E15" s="422" t="n"/>
      <c r="F15" s="422" t="n"/>
      <c r="G15" s="423" t="n"/>
      <c r="H15" s="421" t="n"/>
      <c r="I15" s="422" t="n"/>
      <c r="J15" s="423" t="n"/>
      <c r="K15" s="424">
        <f>IFERROR((D15*H15)/1000,"")</f>
        <v/>
      </c>
      <c r="L15" s="425" t="n"/>
      <c r="M15" s="425" t="n"/>
      <c r="N15" s="425" t="n"/>
      <c r="O15" s="426" t="n"/>
      <c r="P15" s="427" t="n"/>
      <c r="Q15" s="422" t="n"/>
      <c r="R15" s="422" t="n"/>
      <c r="S15" s="423" t="n"/>
      <c r="T15" s="428" t="n"/>
      <c r="U15" s="429" t="n"/>
      <c r="V15" s="429" t="n"/>
      <c r="W15" s="429" t="n"/>
      <c r="X15" s="429" t="n"/>
      <c r="Y15" s="429" t="n"/>
      <c r="Z15" s="430" t="n"/>
      <c r="AA15" s="148" t="n"/>
      <c r="AB15" s="422" t="n"/>
      <c r="AC15" s="422" t="n"/>
      <c r="AD15" s="422" t="n"/>
      <c r="AE15" s="423" t="n"/>
      <c r="AF15" s="1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20.1" customHeight="1">
      <c r="B16" s="62" t="n"/>
      <c r="C16" s="159" t="n">
        <v>10</v>
      </c>
      <c r="D16" s="421" t="n"/>
      <c r="E16" s="422" t="n"/>
      <c r="F16" s="422" t="n"/>
      <c r="G16" s="423" t="n"/>
      <c r="H16" s="421" t="n"/>
      <c r="I16" s="422" t="n"/>
      <c r="J16" s="423" t="n"/>
      <c r="K16" s="424">
        <f>IFERROR((D16*H16)/1000,"")</f>
        <v/>
      </c>
      <c r="L16" s="425" t="n"/>
      <c r="M16" s="425" t="n"/>
      <c r="N16" s="425" t="n"/>
      <c r="O16" s="426" t="n"/>
      <c r="P16" s="148" t="n"/>
      <c r="Q16" s="422" t="n"/>
      <c r="R16" s="422" t="n"/>
      <c r="S16" s="423" t="n"/>
      <c r="T16" s="428" t="n"/>
      <c r="U16" s="429" t="n"/>
      <c r="V16" s="429" t="n"/>
      <c r="W16" s="429" t="n"/>
      <c r="X16" s="429" t="n"/>
      <c r="Y16" s="429" t="n"/>
      <c r="Z16" s="430" t="n"/>
      <c r="AA16" s="148" t="n"/>
      <c r="AB16" s="422" t="n"/>
      <c r="AC16" s="422" t="n"/>
      <c r="AD16" s="422" t="n"/>
      <c r="AE16" s="423" t="n"/>
      <c r="AF16" s="1" t="n"/>
      <c r="AH16" s="59" t="n"/>
      <c r="AI16" s="59" t="n"/>
      <c r="AJ16" s="59" t="n"/>
      <c r="AK16" s="59" t="n"/>
      <c r="AL16" s="59" t="n"/>
      <c r="AM16" s="59" t="n"/>
      <c r="AN16" s="59" t="n"/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1" customHeight="1">
      <c r="B17" s="62" t="n"/>
      <c r="C17" s="74" t="inlineStr">
        <is>
          <t>TOTAL</t>
        </is>
      </c>
      <c r="D17" s="228" t="n"/>
      <c r="E17" s="425" t="n"/>
      <c r="F17" s="425" t="n"/>
      <c r="G17" s="425" t="n"/>
      <c r="H17" s="434">
        <f>IFERROR(SUM(H7:J16),"")</f>
        <v/>
      </c>
      <c r="I17" s="425" t="n"/>
      <c r="J17" s="426" t="n"/>
      <c r="K17" s="435">
        <f>IFERROR(SUM(K7:O16),"")</f>
        <v/>
      </c>
      <c r="L17" s="425" t="n"/>
      <c r="M17" s="425" t="n"/>
      <c r="N17" s="425" t="n"/>
      <c r="O17" s="426" t="n"/>
      <c r="P17" s="435">
        <f>IFERROR(SUM(P7:S16),"")</f>
        <v/>
      </c>
      <c r="Q17" s="425" t="n"/>
      <c r="R17" s="425" t="n"/>
      <c r="S17" s="426" t="n"/>
      <c r="T17" s="179" t="n"/>
      <c r="U17" s="425" t="n"/>
      <c r="V17" s="425" t="n"/>
      <c r="W17" s="425" t="n"/>
      <c r="X17" s="425" t="n"/>
      <c r="Y17" s="425" t="n"/>
      <c r="Z17" s="426" t="n"/>
      <c r="AA17" s="179" t="n"/>
      <c r="AB17" s="425" t="n"/>
      <c r="AC17" s="425" t="n"/>
      <c r="AD17" s="425" t="n"/>
      <c r="AE17" s="426" t="n"/>
      <c r="AF17" s="1" t="n"/>
      <c r="AH17" s="59" t="n"/>
      <c r="AI17" s="59" t="n"/>
      <c r="AJ17" s="59" t="n"/>
      <c r="AK17" s="59" t="n"/>
      <c r="AL17" s="59" t="n"/>
      <c r="AM17" s="59" t="n"/>
      <c r="AN17" s="59" t="n"/>
      <c r="AO17" s="59" t="n"/>
      <c r="AP17" s="59" t="n"/>
      <c r="AQ17" s="59" t="n"/>
      <c r="AR17" s="59" t="n"/>
      <c r="AS17" s="59" t="n"/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208" t="inlineStr">
        <is>
          <t xml:space="preserve">Obs: Célula fotovoltaica é a unidade básica, módulo é o conjunto de células e arranjo é o agrupamento de módulos, o gerador </t>
        </is>
      </c>
      <c r="D18" s="436" t="n"/>
      <c r="E18" s="436" t="n"/>
      <c r="F18" s="436" t="n"/>
      <c r="G18" s="436" t="n"/>
      <c r="H18" s="436" t="n"/>
      <c r="I18" s="436" t="n"/>
      <c r="J18" s="436" t="n"/>
      <c r="K18" s="436" t="n"/>
      <c r="L18" s="436" t="n"/>
      <c r="M18" s="436" t="n"/>
      <c r="N18" s="436" t="n"/>
      <c r="O18" s="436" t="n"/>
      <c r="P18" s="436" t="n"/>
      <c r="Q18" s="436" t="n"/>
      <c r="R18" s="436" t="n"/>
      <c r="S18" s="436" t="n"/>
      <c r="T18" s="436" t="n"/>
      <c r="U18" s="436" t="n"/>
      <c r="V18" s="436" t="n"/>
      <c r="W18" s="436" t="n"/>
      <c r="X18" s="436" t="n"/>
      <c r="Y18" s="436" t="n"/>
      <c r="Z18" s="436" t="n"/>
      <c r="AA18" s="436" t="n"/>
      <c r="AB18" s="436" t="n"/>
      <c r="AC18" s="436" t="n"/>
      <c r="AD18" s="436" t="n"/>
      <c r="AE18" s="436" t="n"/>
      <c r="AF18" s="1" t="n"/>
      <c r="AG18" s="37" t="n"/>
      <c r="AH18" s="59" t="n"/>
      <c r="AI18" s="59" t="n"/>
      <c r="AJ18" s="59" t="n"/>
      <c r="AK18" s="59" t="n"/>
      <c r="AL18" s="59" t="n"/>
      <c r="AM18" s="59" t="n"/>
      <c r="AN18" s="59" t="n"/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9.949999999999999" customHeight="1">
      <c r="B19" s="62" t="n"/>
      <c r="AF19" s="1" t="n"/>
      <c r="AG19" s="37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20.1" customHeight="1">
      <c r="B20" s="62" t="n"/>
      <c r="C20" s="168" t="inlineStr">
        <is>
          <t>2. Dados dos Inversores</t>
        </is>
      </c>
      <c r="D20" s="418" t="n"/>
      <c r="E20" s="418" t="n"/>
      <c r="F20" s="418" t="n"/>
      <c r="G20" s="418" t="n"/>
      <c r="H20" s="418" t="n"/>
      <c r="I20" s="418" t="n"/>
      <c r="J20" s="418" t="n"/>
      <c r="K20" s="418" t="n"/>
      <c r="L20" s="418" t="n"/>
      <c r="M20" s="418" t="n"/>
      <c r="N20" s="418" t="n"/>
      <c r="O20" s="418" t="n"/>
      <c r="P20" s="418" t="n"/>
      <c r="Q20" s="418" t="n"/>
      <c r="R20" s="418" t="n"/>
      <c r="S20" s="418" t="n"/>
      <c r="T20" s="418" t="n"/>
      <c r="U20" s="418" t="n"/>
      <c r="V20" s="418" t="n"/>
      <c r="W20" s="418" t="n"/>
      <c r="X20" s="418" t="n"/>
      <c r="Y20" s="418" t="n"/>
      <c r="Z20" s="418" t="n"/>
      <c r="AA20" s="418" t="n"/>
      <c r="AB20" s="418" t="n"/>
      <c r="AC20" s="418" t="n"/>
      <c r="AD20" s="418" t="n"/>
      <c r="AE20" s="418" t="n"/>
      <c r="AF20" s="1" t="n"/>
      <c r="AG20" s="37" t="n"/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30" customHeight="1">
      <c r="B21" s="62" t="n"/>
      <c r="C21" s="77" t="inlineStr">
        <is>
          <t xml:space="preserve">Item </t>
        </is>
      </c>
      <c r="D21" s="77" t="inlineStr">
        <is>
          <t xml:space="preserve">Fabricante* </t>
        </is>
      </c>
      <c r="E21" s="419" t="n"/>
      <c r="F21" s="419" t="n"/>
      <c r="G21" s="420" t="n"/>
      <c r="H21" s="77" t="inlineStr">
        <is>
          <t>Modelo*</t>
        </is>
      </c>
      <c r="I21" s="419" t="n"/>
      <c r="J21" s="419" t="n"/>
      <c r="K21" s="420" t="n"/>
      <c r="L21" s="239" t="inlineStr">
        <is>
          <t>Potência Nominal (kW)</t>
        </is>
      </c>
      <c r="M21" s="419" t="n"/>
      <c r="N21" s="419" t="n"/>
      <c r="O21" s="420" t="n"/>
      <c r="P21" s="239" t="inlineStr">
        <is>
          <t>Faixa de tensão de operação (V)</t>
        </is>
      </c>
      <c r="Q21" s="419" t="n"/>
      <c r="R21" s="419" t="n"/>
      <c r="S21" s="420" t="n"/>
      <c r="T21" s="227" t="inlineStr">
        <is>
          <t>Corrente Nominal (A)</t>
        </is>
      </c>
      <c r="U21" s="419" t="n"/>
      <c r="V21" s="420" t="n"/>
      <c r="W21" s="239" t="inlineStr">
        <is>
          <t>Fator de Potência</t>
        </is>
      </c>
      <c r="X21" s="419" t="n"/>
      <c r="Y21" s="420" t="n"/>
      <c r="Z21" s="239" t="inlineStr">
        <is>
          <t>Rendimento (%)</t>
        </is>
      </c>
      <c r="AA21" s="419" t="n"/>
      <c r="AB21" s="420" t="n"/>
      <c r="AC21" s="239" t="inlineStr">
        <is>
          <t>DHT de Corrente (%)</t>
        </is>
      </c>
      <c r="AD21" s="419" t="n"/>
      <c r="AE21" s="420" t="n"/>
      <c r="AF21" s="1" t="n"/>
      <c r="AG21" s="37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59" t="n"/>
      <c r="AQ21" s="59" t="n"/>
      <c r="AR21" s="59" t="n"/>
      <c r="AS21" s="59" t="n"/>
      <c r="AT21" s="59" t="n"/>
      <c r="AU21" s="59" t="n"/>
      <c r="AV21" s="59" t="n"/>
      <c r="AW21" s="59" t="n"/>
      <c r="AX21" s="59" t="n"/>
      <c r="AY21" s="59" t="n"/>
      <c r="AZ21" s="59" t="n"/>
      <c r="BA21" s="59" t="n"/>
      <c r="BB21" s="59" t="n"/>
      <c r="BC21" s="59" t="n"/>
      <c r="BD21" s="59" t="n"/>
      <c r="BE21" s="59" t="n"/>
      <c r="BF21" s="59" t="n"/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20.1" customHeight="1">
      <c r="B22" s="62" t="n"/>
      <c r="C22" s="159" t="n">
        <v>1</v>
      </c>
      <c r="D22" s="148" t="inlineStr">
        <is>
          <t>FOXESS</t>
        </is>
      </c>
      <c r="E22" s="422" t="n"/>
      <c r="F22" s="422" t="n"/>
      <c r="G22" s="423" t="n"/>
      <c r="H22" s="148" t="inlineStr">
        <is>
          <t>Q1-2500-E</t>
        </is>
      </c>
      <c r="I22" s="422" t="n"/>
      <c r="J22" s="422" t="n"/>
      <c r="K22" s="423" t="n"/>
      <c r="L22" s="427" t="n">
        <v>2.5</v>
      </c>
      <c r="M22" s="422" t="n"/>
      <c r="N22" s="422" t="n"/>
      <c r="O22" s="423" t="n"/>
      <c r="P22" s="148" t="n">
        <v>220</v>
      </c>
      <c r="Q22" s="422" t="n"/>
      <c r="R22" s="422" t="n"/>
      <c r="S22" s="423" t="n"/>
      <c r="T22" s="148" t="n">
        <v>20</v>
      </c>
      <c r="U22" s="422" t="n"/>
      <c r="V22" s="423" t="n"/>
      <c r="W22" s="148" t="inlineStr">
        <is>
          <t>&gt;0.99</t>
        </is>
      </c>
      <c r="X22" s="422" t="n"/>
      <c r="Y22" s="423" t="n"/>
      <c r="Z22" s="148" t="inlineStr">
        <is>
          <t>95.5</t>
        </is>
      </c>
      <c r="AA22" s="422" t="n"/>
      <c r="AB22" s="423" t="n"/>
      <c r="AC22" s="148" t="n"/>
      <c r="AD22" s="422" t="n"/>
      <c r="AE22" s="423" t="n"/>
      <c r="AF22" s="1" t="n"/>
      <c r="AG22" s="37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159" t="n">
        <v>2</v>
      </c>
      <c r="D23" s="148" t="inlineStr">
        <is>
          <t>FOXESS</t>
        </is>
      </c>
      <c r="E23" s="422" t="n"/>
      <c r="F23" s="422" t="n"/>
      <c r="G23" s="423" t="n"/>
      <c r="H23" s="148" t="inlineStr">
        <is>
          <t>Q1-2500-E</t>
        </is>
      </c>
      <c r="I23" s="422" t="n"/>
      <c r="J23" s="422" t="n"/>
      <c r="K23" s="423" t="n"/>
      <c r="L23" s="427" t="n">
        <v>2.5</v>
      </c>
      <c r="M23" s="422" t="n"/>
      <c r="N23" s="422" t="n"/>
      <c r="O23" s="423" t="n"/>
      <c r="P23" s="148" t="n">
        <v>220</v>
      </c>
      <c r="Q23" s="422" t="n"/>
      <c r="R23" s="422" t="n"/>
      <c r="S23" s="423" t="n"/>
      <c r="T23" s="148" t="n">
        <v>20</v>
      </c>
      <c r="U23" s="422" t="n"/>
      <c r="V23" s="423" t="n"/>
      <c r="W23" s="148" t="inlineStr">
        <is>
          <t>&gt;0.99</t>
        </is>
      </c>
      <c r="X23" s="422" t="n"/>
      <c r="Y23" s="423" t="n"/>
      <c r="Z23" s="148" t="inlineStr">
        <is>
          <t>95.5</t>
        </is>
      </c>
      <c r="AA23" s="422" t="n"/>
      <c r="AB23" s="423" t="n"/>
      <c r="AC23" s="148" t="n"/>
      <c r="AD23" s="422" t="n"/>
      <c r="AE23" s="423" t="n"/>
      <c r="AF23" s="1" t="n"/>
      <c r="AG23" s="37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59" t="n"/>
      <c r="AT23" s="59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59" t="n"/>
      <c r="BH23" s="59" t="n"/>
      <c r="BI23" s="59" t="n"/>
      <c r="BJ23" s="59" t="n"/>
      <c r="BK23" s="59" t="n"/>
      <c r="BL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20.1" customHeight="1">
      <c r="B24" s="62" t="n"/>
      <c r="C24" s="159" t="n">
        <v>3</v>
      </c>
      <c r="D24" s="148" t="inlineStr">
        <is>
          <t>FOXESS</t>
        </is>
      </c>
      <c r="E24" s="422" t="n"/>
      <c r="F24" s="422" t="n"/>
      <c r="G24" s="423" t="n"/>
      <c r="H24" s="148" t="inlineStr">
        <is>
          <t>Q1-2500-E</t>
        </is>
      </c>
      <c r="I24" s="422" t="n"/>
      <c r="J24" s="422" t="n"/>
      <c r="K24" s="423" t="n"/>
      <c r="L24" s="427" t="n">
        <v>2.5</v>
      </c>
      <c r="M24" s="422" t="n"/>
      <c r="N24" s="422" t="n"/>
      <c r="O24" s="423" t="n"/>
      <c r="P24" s="148" t="n">
        <v>220</v>
      </c>
      <c r="Q24" s="422" t="n"/>
      <c r="R24" s="422" t="n"/>
      <c r="S24" s="423" t="n"/>
      <c r="T24" s="148" t="n">
        <v>20</v>
      </c>
      <c r="U24" s="422" t="n"/>
      <c r="V24" s="423" t="n"/>
      <c r="W24" s="148" t="inlineStr">
        <is>
          <t>&gt;0.99</t>
        </is>
      </c>
      <c r="X24" s="422" t="n"/>
      <c r="Y24" s="423" t="n"/>
      <c r="Z24" s="148" t="inlineStr">
        <is>
          <t>95.5</t>
        </is>
      </c>
      <c r="AA24" s="422" t="n"/>
      <c r="AB24" s="423" t="n"/>
      <c r="AC24" s="148" t="n"/>
      <c r="AD24" s="422" t="n"/>
      <c r="AE24" s="423" t="n"/>
      <c r="AF24" s="1" t="n"/>
      <c r="AG24" s="37" t="n"/>
      <c r="AH24" s="59" t="n"/>
      <c r="AI24" s="59" t="n"/>
      <c r="AJ24" s="59" t="n"/>
      <c r="AK24" s="59" t="n"/>
      <c r="AL24" s="59" t="n"/>
      <c r="AM24" s="59" t="n"/>
      <c r="AN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159" t="n">
        <v>4</v>
      </c>
      <c r="D25" s="148" t="n"/>
      <c r="E25" s="422" t="n"/>
      <c r="F25" s="422" t="n"/>
      <c r="G25" s="423" t="n"/>
      <c r="H25" s="148" t="n"/>
      <c r="I25" s="422" t="n"/>
      <c r="J25" s="422" t="n"/>
      <c r="K25" s="423" t="n"/>
      <c r="L25" s="427" t="n"/>
      <c r="M25" s="422" t="n"/>
      <c r="N25" s="422" t="n"/>
      <c r="O25" s="423" t="n"/>
      <c r="P25" s="148" t="n"/>
      <c r="Q25" s="422" t="n"/>
      <c r="R25" s="422" t="n"/>
      <c r="S25" s="423" t="n"/>
      <c r="T25" s="148" t="n"/>
      <c r="U25" s="422" t="n"/>
      <c r="V25" s="423" t="n"/>
      <c r="W25" s="148" t="n"/>
      <c r="X25" s="422" t="n"/>
      <c r="Y25" s="423" t="n"/>
      <c r="Z25" s="148" t="n"/>
      <c r="AA25" s="422" t="n"/>
      <c r="AB25" s="423" t="n"/>
      <c r="AC25" s="148" t="n"/>
      <c r="AD25" s="422" t="n"/>
      <c r="AE25" s="423" t="n"/>
      <c r="AF25" s="1" t="n"/>
      <c r="AG25" s="37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20.1" customHeight="1">
      <c r="B26" s="62" t="n"/>
      <c r="C26" s="159" t="n">
        <v>5</v>
      </c>
      <c r="D26" s="148" t="n"/>
      <c r="E26" s="422" t="n"/>
      <c r="F26" s="422" t="n"/>
      <c r="G26" s="423" t="n"/>
      <c r="H26" s="148" t="n"/>
      <c r="I26" s="422" t="n"/>
      <c r="J26" s="422" t="n"/>
      <c r="K26" s="423" t="n"/>
      <c r="L26" s="427" t="n"/>
      <c r="M26" s="422" t="n"/>
      <c r="N26" s="422" t="n"/>
      <c r="O26" s="423" t="n"/>
      <c r="P26" s="148" t="n"/>
      <c r="Q26" s="422" t="n"/>
      <c r="R26" s="422" t="n"/>
      <c r="S26" s="423" t="n"/>
      <c r="T26" s="148" t="n"/>
      <c r="U26" s="422" t="n"/>
      <c r="V26" s="423" t="n"/>
      <c r="W26" s="148" t="n"/>
      <c r="X26" s="422" t="n"/>
      <c r="Y26" s="423" t="n"/>
      <c r="Z26" s="148" t="n"/>
      <c r="AA26" s="422" t="n"/>
      <c r="AB26" s="423" t="n"/>
      <c r="AC26" s="148" t="n"/>
      <c r="AD26" s="422" t="n"/>
      <c r="AE26" s="423" t="n"/>
      <c r="AF26" s="1" t="n"/>
      <c r="AG26" s="37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159" t="n">
        <v>6</v>
      </c>
      <c r="D27" s="148" t="n"/>
      <c r="E27" s="422" t="n"/>
      <c r="F27" s="422" t="n"/>
      <c r="G27" s="423" t="n"/>
      <c r="H27" s="148" t="n"/>
      <c r="I27" s="422" t="n"/>
      <c r="J27" s="422" t="n"/>
      <c r="K27" s="423" t="n"/>
      <c r="L27" s="427" t="n"/>
      <c r="M27" s="422" t="n"/>
      <c r="N27" s="422" t="n"/>
      <c r="O27" s="423" t="n"/>
      <c r="P27" s="148" t="n"/>
      <c r="Q27" s="422" t="n"/>
      <c r="R27" s="422" t="n"/>
      <c r="S27" s="423" t="n"/>
      <c r="T27" s="148" t="n"/>
      <c r="U27" s="422" t="n"/>
      <c r="V27" s="423" t="n"/>
      <c r="W27" s="148" t="n"/>
      <c r="X27" s="422" t="n"/>
      <c r="Y27" s="423" t="n"/>
      <c r="Z27" s="148" t="n"/>
      <c r="AA27" s="422" t="n"/>
      <c r="AB27" s="423" t="n"/>
      <c r="AC27" s="148" t="n"/>
      <c r="AD27" s="422" t="n"/>
      <c r="AE27" s="423" t="n"/>
      <c r="AF27" s="1" t="n"/>
      <c r="AG27" s="37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</row>
    <row r="28" ht="20.1" customHeight="1">
      <c r="B28" s="62" t="n"/>
      <c r="C28" s="159" t="n">
        <v>7</v>
      </c>
      <c r="D28" s="148" t="n"/>
      <c r="E28" s="422" t="n"/>
      <c r="F28" s="422" t="n"/>
      <c r="G28" s="423" t="n"/>
      <c r="H28" s="148" t="n"/>
      <c r="I28" s="422" t="n"/>
      <c r="J28" s="422" t="n"/>
      <c r="K28" s="423" t="n"/>
      <c r="L28" s="427" t="n"/>
      <c r="M28" s="422" t="n"/>
      <c r="N28" s="422" t="n"/>
      <c r="O28" s="423" t="n"/>
      <c r="P28" s="148" t="n"/>
      <c r="Q28" s="422" t="n"/>
      <c r="R28" s="422" t="n"/>
      <c r="S28" s="423" t="n"/>
      <c r="T28" s="148" t="n"/>
      <c r="U28" s="422" t="n"/>
      <c r="V28" s="423" t="n"/>
      <c r="W28" s="148" t="n"/>
      <c r="X28" s="422" t="n"/>
      <c r="Y28" s="423" t="n"/>
      <c r="Z28" s="148" t="n"/>
      <c r="AA28" s="422" t="n"/>
      <c r="AB28" s="423" t="n"/>
      <c r="AC28" s="148" t="n"/>
      <c r="AD28" s="422" t="n"/>
      <c r="AE28" s="423" t="n"/>
      <c r="AF28" s="1" t="n"/>
      <c r="AG28" s="37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159" t="n">
        <v>8</v>
      </c>
      <c r="D29" s="148" t="n"/>
      <c r="E29" s="422" t="n"/>
      <c r="F29" s="422" t="n"/>
      <c r="G29" s="423" t="n"/>
      <c r="H29" s="148" t="n"/>
      <c r="I29" s="422" t="n"/>
      <c r="J29" s="422" t="n"/>
      <c r="K29" s="423" t="n"/>
      <c r="L29" s="427" t="n"/>
      <c r="M29" s="422" t="n"/>
      <c r="N29" s="422" t="n"/>
      <c r="O29" s="423" t="n"/>
      <c r="P29" s="148" t="n"/>
      <c r="Q29" s="422" t="n"/>
      <c r="R29" s="422" t="n"/>
      <c r="S29" s="423" t="n"/>
      <c r="T29" s="148" t="n"/>
      <c r="U29" s="422" t="n"/>
      <c r="V29" s="423" t="n"/>
      <c r="W29" s="148" t="n"/>
      <c r="X29" s="422" t="n"/>
      <c r="Y29" s="423" t="n"/>
      <c r="Z29" s="148" t="n"/>
      <c r="AA29" s="422" t="n"/>
      <c r="AB29" s="423" t="n"/>
      <c r="AC29" s="148" t="n"/>
      <c r="AD29" s="422" t="n"/>
      <c r="AE29" s="423" t="n"/>
      <c r="AF29" s="1" t="n"/>
      <c r="AG29" s="37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20.1" customHeight="1">
      <c r="B30" s="62" t="n"/>
      <c r="C30" s="159" t="n">
        <v>9</v>
      </c>
      <c r="D30" s="148" t="n"/>
      <c r="E30" s="422" t="n"/>
      <c r="F30" s="422" t="n"/>
      <c r="G30" s="423" t="n"/>
      <c r="H30" s="148" t="n"/>
      <c r="I30" s="422" t="n"/>
      <c r="J30" s="422" t="n"/>
      <c r="K30" s="423" t="n"/>
      <c r="L30" s="427" t="n"/>
      <c r="M30" s="422" t="n"/>
      <c r="N30" s="422" t="n"/>
      <c r="O30" s="423" t="n"/>
      <c r="P30" s="148" t="n"/>
      <c r="Q30" s="422" t="n"/>
      <c r="R30" s="422" t="n"/>
      <c r="S30" s="423" t="n"/>
      <c r="T30" s="148" t="n"/>
      <c r="U30" s="422" t="n"/>
      <c r="V30" s="423" t="n"/>
      <c r="W30" s="148" t="n"/>
      <c r="X30" s="422" t="n"/>
      <c r="Y30" s="423" t="n"/>
      <c r="Z30" s="148" t="n"/>
      <c r="AA30" s="422" t="n"/>
      <c r="AB30" s="423" t="n"/>
      <c r="AC30" s="148" t="n"/>
      <c r="AD30" s="422" t="n"/>
      <c r="AE30" s="423" t="n"/>
      <c r="AF30" s="1" t="n"/>
      <c r="AG30" s="37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159" t="n">
        <v>10</v>
      </c>
      <c r="D31" s="148" t="n"/>
      <c r="E31" s="422" t="n"/>
      <c r="F31" s="422" t="n"/>
      <c r="G31" s="423" t="n"/>
      <c r="H31" s="148" t="n"/>
      <c r="I31" s="422" t="n"/>
      <c r="J31" s="422" t="n"/>
      <c r="K31" s="423" t="n"/>
      <c r="L31" s="427" t="n"/>
      <c r="M31" s="422" t="n"/>
      <c r="N31" s="422" t="n"/>
      <c r="O31" s="423" t="n"/>
      <c r="P31" s="148" t="n"/>
      <c r="Q31" s="422" t="n"/>
      <c r="R31" s="422" t="n"/>
      <c r="S31" s="423" t="n"/>
      <c r="T31" s="148" t="n"/>
      <c r="U31" s="422" t="n"/>
      <c r="V31" s="423" t="n"/>
      <c r="W31" s="148" t="n"/>
      <c r="X31" s="422" t="n"/>
      <c r="Y31" s="423" t="n"/>
      <c r="Z31" s="148" t="n"/>
      <c r="AA31" s="422" t="n"/>
      <c r="AB31" s="423" t="n"/>
      <c r="AC31" s="148" t="n"/>
      <c r="AD31" s="422" t="n"/>
      <c r="AE31" s="423" t="n"/>
      <c r="AF31" s="1" t="n"/>
      <c r="AG31" s="37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20.1" customHeight="1">
      <c r="B32" s="62" t="n"/>
      <c r="C32" s="159" t="n">
        <v>11</v>
      </c>
      <c r="D32" s="148" t="n"/>
      <c r="E32" s="422" t="n"/>
      <c r="F32" s="422" t="n"/>
      <c r="G32" s="423" t="n"/>
      <c r="H32" s="148" t="n"/>
      <c r="I32" s="422" t="n"/>
      <c r="J32" s="422" t="n"/>
      <c r="K32" s="423" t="n"/>
      <c r="L32" s="427" t="n"/>
      <c r="M32" s="422" t="n"/>
      <c r="N32" s="422" t="n"/>
      <c r="O32" s="423" t="n"/>
      <c r="P32" s="148" t="n"/>
      <c r="Q32" s="422" t="n"/>
      <c r="R32" s="422" t="n"/>
      <c r="S32" s="423" t="n"/>
      <c r="T32" s="148" t="n"/>
      <c r="U32" s="422" t="n"/>
      <c r="V32" s="423" t="n"/>
      <c r="W32" s="148" t="n"/>
      <c r="X32" s="422" t="n"/>
      <c r="Y32" s="423" t="n"/>
      <c r="Z32" s="148" t="n"/>
      <c r="AA32" s="422" t="n"/>
      <c r="AB32" s="423" t="n"/>
      <c r="AC32" s="148" t="n"/>
      <c r="AD32" s="422" t="n"/>
      <c r="AE32" s="423" t="n"/>
      <c r="AF32" s="1" t="n"/>
      <c r="AG32" s="37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159" t="n">
        <v>12</v>
      </c>
      <c r="D33" s="148" t="n"/>
      <c r="E33" s="422" t="n"/>
      <c r="F33" s="422" t="n"/>
      <c r="G33" s="423" t="n"/>
      <c r="H33" s="148" t="n"/>
      <c r="I33" s="422" t="n"/>
      <c r="J33" s="422" t="n"/>
      <c r="K33" s="423" t="n"/>
      <c r="L33" s="427" t="n"/>
      <c r="M33" s="422" t="n"/>
      <c r="N33" s="422" t="n"/>
      <c r="O33" s="423" t="n"/>
      <c r="P33" s="148" t="n"/>
      <c r="Q33" s="422" t="n"/>
      <c r="R33" s="422" t="n"/>
      <c r="S33" s="423" t="n"/>
      <c r="T33" s="148" t="n"/>
      <c r="U33" s="422" t="n"/>
      <c r="V33" s="423" t="n"/>
      <c r="W33" s="148" t="n"/>
      <c r="X33" s="422" t="n"/>
      <c r="Y33" s="423" t="n"/>
      <c r="Z33" s="148" t="n"/>
      <c r="AA33" s="422" t="n"/>
      <c r="AB33" s="423" t="n"/>
      <c r="AC33" s="148" t="n"/>
      <c r="AD33" s="422" t="n"/>
      <c r="AE33" s="423" t="n"/>
      <c r="AF33" s="1" t="n"/>
      <c r="AG33" s="37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20.1" customHeight="1">
      <c r="B34" s="62" t="n"/>
      <c r="C34" s="159" t="n">
        <v>13</v>
      </c>
      <c r="D34" s="148" t="n"/>
      <c r="E34" s="422" t="n"/>
      <c r="F34" s="422" t="n"/>
      <c r="G34" s="423" t="n"/>
      <c r="H34" s="148" t="n"/>
      <c r="I34" s="422" t="n"/>
      <c r="J34" s="422" t="n"/>
      <c r="K34" s="423" t="n"/>
      <c r="L34" s="427" t="n"/>
      <c r="M34" s="422" t="n"/>
      <c r="N34" s="422" t="n"/>
      <c r="O34" s="423" t="n"/>
      <c r="P34" s="148" t="n"/>
      <c r="Q34" s="422" t="n"/>
      <c r="R34" s="422" t="n"/>
      <c r="S34" s="423" t="n"/>
      <c r="T34" s="148" t="n"/>
      <c r="U34" s="422" t="n"/>
      <c r="V34" s="423" t="n"/>
      <c r="W34" s="148" t="n"/>
      <c r="X34" s="422" t="n"/>
      <c r="Y34" s="423" t="n"/>
      <c r="Z34" s="148" t="n"/>
      <c r="AA34" s="422" t="n"/>
      <c r="AB34" s="423" t="n"/>
      <c r="AC34" s="148" t="n"/>
      <c r="AD34" s="422" t="n"/>
      <c r="AE34" s="423" t="n"/>
      <c r="AF34" s="1" t="n"/>
      <c r="AG34" s="37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>
      <c r="B35" s="62" t="n"/>
      <c r="C35" s="159" t="n">
        <v>14</v>
      </c>
      <c r="D35" s="148" t="n"/>
      <c r="E35" s="422" t="n"/>
      <c r="F35" s="422" t="n"/>
      <c r="G35" s="423" t="n"/>
      <c r="H35" s="148" t="n"/>
      <c r="I35" s="422" t="n"/>
      <c r="J35" s="422" t="n"/>
      <c r="K35" s="423" t="n"/>
      <c r="L35" s="427" t="n"/>
      <c r="M35" s="422" t="n"/>
      <c r="N35" s="422" t="n"/>
      <c r="O35" s="423" t="n"/>
      <c r="P35" s="148" t="n"/>
      <c r="Q35" s="422" t="n"/>
      <c r="R35" s="422" t="n"/>
      <c r="S35" s="423" t="n"/>
      <c r="T35" s="148" t="n"/>
      <c r="U35" s="422" t="n"/>
      <c r="V35" s="423" t="n"/>
      <c r="W35" s="148" t="n"/>
      <c r="X35" s="422" t="n"/>
      <c r="Y35" s="423" t="n"/>
      <c r="Z35" s="148" t="n"/>
      <c r="AA35" s="422" t="n"/>
      <c r="AB35" s="423" t="n"/>
      <c r="AC35" s="148" t="n"/>
      <c r="AD35" s="422" t="n"/>
      <c r="AE35" s="423" t="n"/>
      <c r="AF35" s="1" t="n"/>
      <c r="AG35" s="37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20.1" customHeight="1">
      <c r="B36" s="62" t="n"/>
      <c r="C36" s="159" t="n">
        <v>15</v>
      </c>
      <c r="D36" s="148" t="n"/>
      <c r="E36" s="422" t="n"/>
      <c r="F36" s="422" t="n"/>
      <c r="G36" s="423" t="n"/>
      <c r="H36" s="148" t="n"/>
      <c r="I36" s="422" t="n"/>
      <c r="J36" s="422" t="n"/>
      <c r="K36" s="423" t="n"/>
      <c r="L36" s="427" t="n"/>
      <c r="M36" s="422" t="n"/>
      <c r="N36" s="422" t="n"/>
      <c r="O36" s="423" t="n"/>
      <c r="P36" s="148" t="n"/>
      <c r="Q36" s="422" t="n"/>
      <c r="R36" s="422" t="n"/>
      <c r="S36" s="423" t="n"/>
      <c r="T36" s="148" t="n"/>
      <c r="U36" s="422" t="n"/>
      <c r="V36" s="423" t="n"/>
      <c r="W36" s="148" t="n"/>
      <c r="X36" s="422" t="n"/>
      <c r="Y36" s="423" t="n"/>
      <c r="Z36" s="148" t="n"/>
      <c r="AA36" s="422" t="n"/>
      <c r="AB36" s="423" t="n"/>
      <c r="AC36" s="148" t="n"/>
      <c r="AD36" s="422" t="n"/>
      <c r="AE36" s="423" t="n"/>
      <c r="AF36" s="1" t="n"/>
      <c r="AG36" s="37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159" t="n">
        <v>16</v>
      </c>
      <c r="D37" s="148" t="n"/>
      <c r="E37" s="422" t="n"/>
      <c r="F37" s="422" t="n"/>
      <c r="G37" s="423" t="n"/>
      <c r="H37" s="148" t="n"/>
      <c r="I37" s="422" t="n"/>
      <c r="J37" s="422" t="n"/>
      <c r="K37" s="423" t="n"/>
      <c r="L37" s="427" t="n"/>
      <c r="M37" s="422" t="n"/>
      <c r="N37" s="422" t="n"/>
      <c r="O37" s="423" t="n"/>
      <c r="P37" s="148" t="n"/>
      <c r="Q37" s="422" t="n"/>
      <c r="R37" s="422" t="n"/>
      <c r="S37" s="423" t="n"/>
      <c r="T37" s="148" t="n"/>
      <c r="U37" s="422" t="n"/>
      <c r="V37" s="423" t="n"/>
      <c r="W37" s="148" t="n"/>
      <c r="X37" s="422" t="n"/>
      <c r="Y37" s="423" t="n"/>
      <c r="Z37" s="148" t="n"/>
      <c r="AA37" s="422" t="n"/>
      <c r="AB37" s="423" t="n"/>
      <c r="AC37" s="148" t="n"/>
      <c r="AD37" s="422" t="n"/>
      <c r="AE37" s="423" t="n"/>
      <c r="AF37" s="1" t="n"/>
      <c r="AG37" s="37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159" t="n">
        <v>17</v>
      </c>
      <c r="D38" s="148" t="n"/>
      <c r="E38" s="422" t="n"/>
      <c r="F38" s="422" t="n"/>
      <c r="G38" s="423" t="n"/>
      <c r="H38" s="148" t="n"/>
      <c r="I38" s="422" t="n"/>
      <c r="J38" s="422" t="n"/>
      <c r="K38" s="423" t="n"/>
      <c r="L38" s="427" t="n"/>
      <c r="M38" s="422" t="n"/>
      <c r="N38" s="422" t="n"/>
      <c r="O38" s="423" t="n"/>
      <c r="P38" s="148" t="n"/>
      <c r="Q38" s="422" t="n"/>
      <c r="R38" s="422" t="n"/>
      <c r="S38" s="423" t="n"/>
      <c r="T38" s="148" t="n"/>
      <c r="U38" s="422" t="n"/>
      <c r="V38" s="423" t="n"/>
      <c r="W38" s="148" t="n"/>
      <c r="X38" s="422" t="n"/>
      <c r="Y38" s="423" t="n"/>
      <c r="Z38" s="148" t="n"/>
      <c r="AA38" s="422" t="n"/>
      <c r="AB38" s="423" t="n"/>
      <c r="AC38" s="148" t="n"/>
      <c r="AD38" s="422" t="n"/>
      <c r="AE38" s="423" t="n"/>
      <c r="AF38" s="1" t="n"/>
      <c r="AG38" s="37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20.1" customHeight="1">
      <c r="B39" s="62" t="n"/>
      <c r="C39" s="159" t="n">
        <v>18</v>
      </c>
      <c r="D39" s="148" t="n"/>
      <c r="E39" s="422" t="n"/>
      <c r="F39" s="422" t="n"/>
      <c r="G39" s="423" t="n"/>
      <c r="H39" s="148" t="n"/>
      <c r="I39" s="422" t="n"/>
      <c r="J39" s="422" t="n"/>
      <c r="K39" s="423" t="n"/>
      <c r="L39" s="427" t="n"/>
      <c r="M39" s="422" t="n"/>
      <c r="N39" s="422" t="n"/>
      <c r="O39" s="423" t="n"/>
      <c r="P39" s="148" t="n"/>
      <c r="Q39" s="422" t="n"/>
      <c r="R39" s="422" t="n"/>
      <c r="S39" s="423" t="n"/>
      <c r="T39" s="148" t="n"/>
      <c r="U39" s="422" t="n"/>
      <c r="V39" s="423" t="n"/>
      <c r="W39" s="148" t="n"/>
      <c r="X39" s="422" t="n"/>
      <c r="Y39" s="423" t="n"/>
      <c r="Z39" s="148" t="n"/>
      <c r="AA39" s="422" t="n"/>
      <c r="AB39" s="423" t="n"/>
      <c r="AC39" s="148" t="n"/>
      <c r="AD39" s="422" t="n"/>
      <c r="AE39" s="423" t="n"/>
      <c r="AF39" s="1" t="n"/>
      <c r="AG39" s="37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159" t="n">
        <v>19</v>
      </c>
      <c r="D40" s="148" t="n"/>
      <c r="E40" s="422" t="n"/>
      <c r="F40" s="422" t="n"/>
      <c r="G40" s="423" t="n"/>
      <c r="H40" s="148" t="n"/>
      <c r="I40" s="422" t="n"/>
      <c r="J40" s="422" t="n"/>
      <c r="K40" s="423" t="n"/>
      <c r="L40" s="427" t="n"/>
      <c r="M40" s="422" t="n"/>
      <c r="N40" s="422" t="n"/>
      <c r="O40" s="423" t="n"/>
      <c r="P40" s="148" t="n"/>
      <c r="Q40" s="422" t="n"/>
      <c r="R40" s="422" t="n"/>
      <c r="S40" s="423" t="n"/>
      <c r="T40" s="148" t="n"/>
      <c r="U40" s="422" t="n"/>
      <c r="V40" s="423" t="n"/>
      <c r="W40" s="148" t="n"/>
      <c r="X40" s="422" t="n"/>
      <c r="Y40" s="423" t="n"/>
      <c r="Z40" s="148" t="n"/>
      <c r="AA40" s="422" t="n"/>
      <c r="AB40" s="423" t="n"/>
      <c r="AC40" s="148" t="n"/>
      <c r="AD40" s="422" t="n"/>
      <c r="AE40" s="423" t="n"/>
      <c r="AF40" s="1" t="n"/>
      <c r="AG40" s="37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159" t="n">
        <v>20</v>
      </c>
      <c r="D41" s="148" t="n"/>
      <c r="E41" s="422" t="n"/>
      <c r="F41" s="422" t="n"/>
      <c r="G41" s="423" t="n"/>
      <c r="H41" s="148" t="n"/>
      <c r="I41" s="422" t="n"/>
      <c r="J41" s="422" t="n"/>
      <c r="K41" s="423" t="n"/>
      <c r="L41" s="427" t="n"/>
      <c r="M41" s="422" t="n"/>
      <c r="N41" s="422" t="n"/>
      <c r="O41" s="423" t="n"/>
      <c r="P41" s="148" t="n"/>
      <c r="Q41" s="422" t="n"/>
      <c r="R41" s="422" t="n"/>
      <c r="S41" s="423" t="n"/>
      <c r="T41" s="148" t="n"/>
      <c r="U41" s="422" t="n"/>
      <c r="V41" s="423" t="n"/>
      <c r="W41" s="148" t="n"/>
      <c r="X41" s="422" t="n"/>
      <c r="Y41" s="423" t="n"/>
      <c r="Z41" s="148" t="n"/>
      <c r="AA41" s="422" t="n"/>
      <c r="AB41" s="423" t="n"/>
      <c r="AC41" s="148" t="n"/>
      <c r="AD41" s="422" t="n"/>
      <c r="AE41" s="423" t="n"/>
      <c r="AF41" s="1" t="n"/>
      <c r="AG41" s="37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20.1" customHeight="1">
      <c r="B42" s="62" t="n"/>
      <c r="C42" s="159" t="n">
        <v>21</v>
      </c>
      <c r="D42" s="148" t="n"/>
      <c r="E42" s="422" t="n"/>
      <c r="F42" s="422" t="n"/>
      <c r="G42" s="423" t="n"/>
      <c r="H42" s="148" t="n"/>
      <c r="I42" s="422" t="n"/>
      <c r="J42" s="422" t="n"/>
      <c r="K42" s="423" t="n"/>
      <c r="L42" s="427" t="n"/>
      <c r="M42" s="422" t="n"/>
      <c r="N42" s="422" t="n"/>
      <c r="O42" s="423" t="n"/>
      <c r="P42" s="148" t="n"/>
      <c r="Q42" s="422" t="n"/>
      <c r="R42" s="422" t="n"/>
      <c r="S42" s="423" t="n"/>
      <c r="T42" s="148" t="n"/>
      <c r="U42" s="422" t="n"/>
      <c r="V42" s="423" t="n"/>
      <c r="W42" s="148" t="n"/>
      <c r="X42" s="422" t="n"/>
      <c r="Y42" s="423" t="n"/>
      <c r="Z42" s="148" t="n"/>
      <c r="AA42" s="422" t="n"/>
      <c r="AB42" s="423" t="n"/>
      <c r="AC42" s="148" t="n"/>
      <c r="AD42" s="422" t="n"/>
      <c r="AE42" s="423" t="n"/>
      <c r="AF42" s="1" t="n"/>
      <c r="AG42" s="37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159" t="n">
        <v>22</v>
      </c>
      <c r="D43" s="148" t="n"/>
      <c r="E43" s="422" t="n"/>
      <c r="F43" s="422" t="n"/>
      <c r="G43" s="423" t="n"/>
      <c r="H43" s="148" t="n"/>
      <c r="I43" s="422" t="n"/>
      <c r="J43" s="422" t="n"/>
      <c r="K43" s="423" t="n"/>
      <c r="L43" s="427" t="n"/>
      <c r="M43" s="422" t="n"/>
      <c r="N43" s="422" t="n"/>
      <c r="O43" s="423" t="n"/>
      <c r="P43" s="148" t="n"/>
      <c r="Q43" s="422" t="n"/>
      <c r="R43" s="422" t="n"/>
      <c r="S43" s="423" t="n"/>
      <c r="T43" s="148" t="n"/>
      <c r="U43" s="422" t="n"/>
      <c r="V43" s="423" t="n"/>
      <c r="W43" s="148" t="n"/>
      <c r="X43" s="422" t="n"/>
      <c r="Y43" s="423" t="n"/>
      <c r="Z43" s="148" t="n"/>
      <c r="AA43" s="422" t="n"/>
      <c r="AB43" s="423" t="n"/>
      <c r="AC43" s="148" t="n"/>
      <c r="AD43" s="422" t="n"/>
      <c r="AE43" s="423" t="n"/>
      <c r="AF43" s="1" t="n"/>
      <c r="AG43" s="37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159" t="n">
        <v>23</v>
      </c>
      <c r="D44" s="148" t="n"/>
      <c r="E44" s="422" t="n"/>
      <c r="F44" s="422" t="n"/>
      <c r="G44" s="423" t="n"/>
      <c r="H44" s="148" t="n"/>
      <c r="I44" s="422" t="n"/>
      <c r="J44" s="422" t="n"/>
      <c r="K44" s="423" t="n"/>
      <c r="L44" s="427" t="n"/>
      <c r="M44" s="422" t="n"/>
      <c r="N44" s="422" t="n"/>
      <c r="O44" s="423" t="n"/>
      <c r="P44" s="148" t="n"/>
      <c r="Q44" s="422" t="n"/>
      <c r="R44" s="422" t="n"/>
      <c r="S44" s="423" t="n"/>
      <c r="T44" s="148" t="n"/>
      <c r="U44" s="422" t="n"/>
      <c r="V44" s="423" t="n"/>
      <c r="W44" s="148" t="n"/>
      <c r="X44" s="422" t="n"/>
      <c r="Y44" s="423" t="n"/>
      <c r="Z44" s="148" t="n"/>
      <c r="AA44" s="422" t="n"/>
      <c r="AB44" s="423" t="n"/>
      <c r="AC44" s="148" t="n"/>
      <c r="AD44" s="422" t="n"/>
      <c r="AE44" s="423" t="n"/>
      <c r="AF44" s="1" t="n"/>
      <c r="AG44" s="37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20.1" customHeight="1">
      <c r="B45" s="62" t="n"/>
      <c r="C45" s="159" t="n">
        <v>24</v>
      </c>
      <c r="D45" s="148" t="n"/>
      <c r="E45" s="422" t="n"/>
      <c r="F45" s="422" t="n"/>
      <c r="G45" s="423" t="n"/>
      <c r="H45" s="148" t="n"/>
      <c r="I45" s="422" t="n"/>
      <c r="J45" s="422" t="n"/>
      <c r="K45" s="423" t="n"/>
      <c r="L45" s="427" t="n"/>
      <c r="M45" s="422" t="n"/>
      <c r="N45" s="422" t="n"/>
      <c r="O45" s="423" t="n"/>
      <c r="P45" s="148" t="n"/>
      <c r="Q45" s="422" t="n"/>
      <c r="R45" s="422" t="n"/>
      <c r="S45" s="423" t="n"/>
      <c r="T45" s="148" t="n"/>
      <c r="U45" s="422" t="n"/>
      <c r="V45" s="423" t="n"/>
      <c r="W45" s="148" t="n"/>
      <c r="X45" s="422" t="n"/>
      <c r="Y45" s="423" t="n"/>
      <c r="Z45" s="148" t="n"/>
      <c r="AA45" s="422" t="n"/>
      <c r="AB45" s="423" t="n"/>
      <c r="AC45" s="148" t="n"/>
      <c r="AD45" s="422" t="n"/>
      <c r="AE45" s="423" t="n"/>
      <c r="AF45" s="1" t="n"/>
      <c r="AG45" s="37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>
      <c r="B46" s="62" t="n"/>
      <c r="C46" s="159" t="n">
        <v>25</v>
      </c>
      <c r="D46" s="148" t="n"/>
      <c r="E46" s="422" t="n"/>
      <c r="F46" s="422" t="n"/>
      <c r="G46" s="423" t="n"/>
      <c r="H46" s="148" t="n"/>
      <c r="I46" s="422" t="n"/>
      <c r="J46" s="422" t="n"/>
      <c r="K46" s="423" t="n"/>
      <c r="L46" s="427" t="n"/>
      <c r="M46" s="422" t="n"/>
      <c r="N46" s="422" t="n"/>
      <c r="O46" s="423" t="n"/>
      <c r="P46" s="148" t="n"/>
      <c r="Q46" s="422" t="n"/>
      <c r="R46" s="422" t="n"/>
      <c r="S46" s="423" t="n"/>
      <c r="T46" s="148" t="n"/>
      <c r="U46" s="422" t="n"/>
      <c r="V46" s="423" t="n"/>
      <c r="W46" s="148" t="n"/>
      <c r="X46" s="422" t="n"/>
      <c r="Y46" s="423" t="n"/>
      <c r="Z46" s="148" t="n"/>
      <c r="AA46" s="422" t="n"/>
      <c r="AB46" s="423" t="n"/>
      <c r="AC46" s="148" t="n"/>
      <c r="AD46" s="422" t="n"/>
      <c r="AE46" s="423" t="n"/>
      <c r="AF46" s="1" t="n"/>
      <c r="AG46" s="37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159" t="n">
        <v>26</v>
      </c>
      <c r="D47" s="148" t="n"/>
      <c r="E47" s="422" t="n"/>
      <c r="F47" s="422" t="n"/>
      <c r="G47" s="423" t="n"/>
      <c r="H47" s="148" t="n"/>
      <c r="I47" s="422" t="n"/>
      <c r="J47" s="422" t="n"/>
      <c r="K47" s="423" t="n"/>
      <c r="L47" s="427" t="n"/>
      <c r="M47" s="422" t="n"/>
      <c r="N47" s="422" t="n"/>
      <c r="O47" s="423" t="n"/>
      <c r="P47" s="148" t="n"/>
      <c r="Q47" s="422" t="n"/>
      <c r="R47" s="422" t="n"/>
      <c r="S47" s="423" t="n"/>
      <c r="T47" s="148" t="n"/>
      <c r="U47" s="422" t="n"/>
      <c r="V47" s="423" t="n"/>
      <c r="W47" s="148" t="n"/>
      <c r="X47" s="422" t="n"/>
      <c r="Y47" s="423" t="n"/>
      <c r="Z47" s="148" t="n"/>
      <c r="AA47" s="422" t="n"/>
      <c r="AB47" s="423" t="n"/>
      <c r="AC47" s="148" t="n"/>
      <c r="AD47" s="422" t="n"/>
      <c r="AE47" s="423" t="n"/>
      <c r="AF47" s="1" t="n"/>
      <c r="AG47" s="37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20.1" customHeight="1">
      <c r="B48" s="62" t="n"/>
      <c r="C48" s="159" t="n">
        <v>27</v>
      </c>
      <c r="D48" s="148" t="n"/>
      <c r="E48" s="422" t="n"/>
      <c r="F48" s="422" t="n"/>
      <c r="G48" s="423" t="n"/>
      <c r="H48" s="148" t="n"/>
      <c r="I48" s="422" t="n"/>
      <c r="J48" s="422" t="n"/>
      <c r="K48" s="423" t="n"/>
      <c r="L48" s="427" t="n"/>
      <c r="M48" s="422" t="n"/>
      <c r="N48" s="422" t="n"/>
      <c r="O48" s="423" t="n"/>
      <c r="P48" s="148" t="n"/>
      <c r="Q48" s="422" t="n"/>
      <c r="R48" s="422" t="n"/>
      <c r="S48" s="423" t="n"/>
      <c r="T48" s="148" t="n"/>
      <c r="U48" s="422" t="n"/>
      <c r="V48" s="423" t="n"/>
      <c r="W48" s="148" t="n"/>
      <c r="X48" s="422" t="n"/>
      <c r="Y48" s="423" t="n"/>
      <c r="Z48" s="148" t="n"/>
      <c r="AA48" s="422" t="n"/>
      <c r="AB48" s="423" t="n"/>
      <c r="AC48" s="148" t="n"/>
      <c r="AD48" s="422" t="n"/>
      <c r="AE48" s="423" t="n"/>
      <c r="AF48" s="1" t="n"/>
      <c r="AG48" s="37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159" t="n">
        <v>28</v>
      </c>
      <c r="D49" s="148" t="n"/>
      <c r="E49" s="422" t="n"/>
      <c r="F49" s="422" t="n"/>
      <c r="G49" s="423" t="n"/>
      <c r="H49" s="148" t="n"/>
      <c r="I49" s="422" t="n"/>
      <c r="J49" s="422" t="n"/>
      <c r="K49" s="423" t="n"/>
      <c r="L49" s="427" t="n"/>
      <c r="M49" s="422" t="n"/>
      <c r="N49" s="422" t="n"/>
      <c r="O49" s="423" t="n"/>
      <c r="P49" s="148" t="n"/>
      <c r="Q49" s="422" t="n"/>
      <c r="R49" s="422" t="n"/>
      <c r="S49" s="423" t="n"/>
      <c r="T49" s="148" t="n"/>
      <c r="U49" s="422" t="n"/>
      <c r="V49" s="423" t="n"/>
      <c r="W49" s="148" t="n"/>
      <c r="X49" s="422" t="n"/>
      <c r="Y49" s="423" t="n"/>
      <c r="Z49" s="148" t="n"/>
      <c r="AA49" s="422" t="n"/>
      <c r="AB49" s="423" t="n"/>
      <c r="AC49" s="148" t="n"/>
      <c r="AD49" s="422" t="n"/>
      <c r="AE49" s="423" t="n"/>
      <c r="AF49" s="1" t="n"/>
      <c r="AG49" s="37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20.1" customHeight="1">
      <c r="B50" s="62" t="n"/>
      <c r="C50" s="159" t="n">
        <v>29</v>
      </c>
      <c r="D50" s="148" t="n"/>
      <c r="E50" s="422" t="n"/>
      <c r="F50" s="422" t="n"/>
      <c r="G50" s="423" t="n"/>
      <c r="H50" s="148" t="n"/>
      <c r="I50" s="422" t="n"/>
      <c r="J50" s="422" t="n"/>
      <c r="K50" s="423" t="n"/>
      <c r="L50" s="427" t="n"/>
      <c r="M50" s="422" t="n"/>
      <c r="N50" s="422" t="n"/>
      <c r="O50" s="423" t="n"/>
      <c r="P50" s="148" t="n"/>
      <c r="Q50" s="422" t="n"/>
      <c r="R50" s="422" t="n"/>
      <c r="S50" s="423" t="n"/>
      <c r="T50" s="148" t="n"/>
      <c r="U50" s="422" t="n"/>
      <c r="V50" s="423" t="n"/>
      <c r="W50" s="148" t="n"/>
      <c r="X50" s="422" t="n"/>
      <c r="Y50" s="423" t="n"/>
      <c r="Z50" s="148" t="n"/>
      <c r="AA50" s="422" t="n"/>
      <c r="AB50" s="423" t="n"/>
      <c r="AC50" s="148" t="n"/>
      <c r="AD50" s="422" t="n"/>
      <c r="AE50" s="423" t="n"/>
      <c r="AF50" s="1" t="n"/>
      <c r="AG50" s="37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159" t="n">
        <v>30</v>
      </c>
      <c r="D51" s="148" t="n"/>
      <c r="E51" s="422" t="n"/>
      <c r="F51" s="422" t="n"/>
      <c r="G51" s="423" t="n"/>
      <c r="H51" s="148" t="n"/>
      <c r="I51" s="422" t="n"/>
      <c r="J51" s="422" t="n"/>
      <c r="K51" s="423" t="n"/>
      <c r="L51" s="427" t="n"/>
      <c r="M51" s="422" t="n"/>
      <c r="N51" s="422" t="n"/>
      <c r="O51" s="423" t="n"/>
      <c r="P51" s="148" t="n"/>
      <c r="Q51" s="422" t="n"/>
      <c r="R51" s="422" t="n"/>
      <c r="S51" s="423" t="n"/>
      <c r="T51" s="148" t="n"/>
      <c r="U51" s="422" t="n"/>
      <c r="V51" s="423" t="n"/>
      <c r="W51" s="148" t="n"/>
      <c r="X51" s="422" t="n"/>
      <c r="Y51" s="423" t="n"/>
      <c r="Z51" s="148" t="n"/>
      <c r="AA51" s="422" t="n"/>
      <c r="AB51" s="423" t="n"/>
      <c r="AC51" s="148" t="n"/>
      <c r="AD51" s="422" t="n"/>
      <c r="AE51" s="423" t="n"/>
      <c r="AF51" s="1" t="n"/>
      <c r="AG51" s="37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20.1" customHeight="1">
      <c r="B52" s="62" t="n"/>
      <c r="C52" s="74" t="inlineStr">
        <is>
          <t>TOTAL</t>
        </is>
      </c>
      <c r="D52" s="437" t="n"/>
      <c r="E52" s="425" t="n"/>
      <c r="F52" s="425" t="n"/>
      <c r="G52" s="425" t="n"/>
      <c r="H52" s="425" t="n"/>
      <c r="I52" s="425" t="n"/>
      <c r="J52" s="425" t="n"/>
      <c r="K52" s="426" t="n"/>
      <c r="L52" s="435">
        <f>SUM(L22:O51)</f>
        <v/>
      </c>
      <c r="M52" s="425" t="n"/>
      <c r="N52" s="425" t="n"/>
      <c r="O52" s="426" t="n"/>
      <c r="P52" s="437" t="n"/>
      <c r="Q52" s="425" t="n"/>
      <c r="R52" s="425" t="n"/>
      <c r="S52" s="425" t="n"/>
      <c r="T52" s="425" t="n"/>
      <c r="U52" s="425" t="n"/>
      <c r="V52" s="425" t="n"/>
      <c r="W52" s="425" t="n"/>
      <c r="X52" s="425" t="n"/>
      <c r="Y52" s="425" t="n"/>
      <c r="Z52" s="425" t="n"/>
      <c r="AA52" s="425" t="n"/>
      <c r="AB52" s="425" t="n"/>
      <c r="AC52" s="425" t="n"/>
      <c r="AD52" s="425" t="n"/>
      <c r="AE52" s="426" t="n"/>
      <c r="AF52" s="1" t="n"/>
      <c r="AG52" s="37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9.949999999999999" customHeight="1">
      <c r="B53" s="62" t="n"/>
      <c r="C53" s="208" t="inlineStr">
        <is>
          <t xml:space="preserve">Obs: Unidades Geradoras Fotovoltaiscas e Eólicas </t>
        </is>
      </c>
      <c r="D53" s="436" t="n"/>
      <c r="E53" s="436" t="n"/>
      <c r="F53" s="436" t="n"/>
      <c r="G53" s="436" t="n"/>
      <c r="H53" s="436" t="n"/>
      <c r="I53" s="436" t="n"/>
      <c r="J53" s="436" t="n"/>
      <c r="K53" s="436" t="n"/>
      <c r="L53" s="436" t="n"/>
      <c r="M53" s="436" t="n"/>
      <c r="N53" s="436" t="n"/>
      <c r="O53" s="436" t="n"/>
      <c r="P53" s="436" t="n"/>
      <c r="Q53" s="436" t="n"/>
      <c r="R53" s="436" t="n"/>
      <c r="S53" s="436" t="n"/>
      <c r="T53" s="436" t="n"/>
      <c r="U53" s="436" t="n"/>
      <c r="V53" s="436" t="n"/>
      <c r="W53" s="436" t="n"/>
      <c r="X53" s="436" t="n"/>
      <c r="Y53" s="436" t="n"/>
      <c r="Z53" s="436" t="n"/>
      <c r="AA53" s="436" t="n"/>
      <c r="AB53" s="436" t="n"/>
      <c r="AC53" s="436" t="n"/>
      <c r="AD53" s="436" t="n"/>
      <c r="AE53" s="436" t="n"/>
      <c r="AF53" s="1" t="n"/>
      <c r="AG53" s="37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B54" s="62" t="n"/>
      <c r="AF54" s="1" t="n"/>
      <c r="AG54" s="37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168" t="inlineStr">
        <is>
          <t>3. Eólica</t>
        </is>
      </c>
      <c r="D55" s="418" t="n"/>
      <c r="E55" s="418" t="n"/>
      <c r="F55" s="418" t="n"/>
      <c r="G55" s="418" t="n"/>
      <c r="H55" s="418" t="n"/>
      <c r="I55" s="418" t="n"/>
      <c r="J55" s="418" t="n"/>
      <c r="K55" s="418" t="n"/>
      <c r="L55" s="418" t="n"/>
      <c r="M55" s="418" t="n"/>
      <c r="N55" s="418" t="n"/>
      <c r="O55" s="418" t="n"/>
      <c r="P55" s="418" t="n"/>
      <c r="Q55" s="418" t="n"/>
      <c r="R55" s="418" t="n"/>
      <c r="S55" s="418" t="n"/>
      <c r="T55" s="418" t="n"/>
      <c r="U55" s="418" t="n"/>
      <c r="V55" s="418" t="n"/>
      <c r="W55" s="418" t="n"/>
      <c r="X55" s="418" t="n"/>
      <c r="Y55" s="418" t="n"/>
      <c r="Z55" s="418" t="n"/>
      <c r="AA55" s="418" t="n"/>
      <c r="AB55" s="418" t="n"/>
      <c r="AC55" s="418" t="n"/>
      <c r="AD55" s="418" t="n"/>
      <c r="AE55" s="418" t="n"/>
      <c r="AF55" s="1" t="n"/>
      <c r="AG55" s="37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39.95" customHeight="1">
      <c r="B56" s="62" t="n"/>
      <c r="C56" s="438" t="inlineStr">
        <is>
          <t>Item</t>
        </is>
      </c>
      <c r="D56" s="190" t="inlineStr">
        <is>
          <t>Fabricante/Modelo</t>
        </is>
      </c>
      <c r="E56" s="439" t="n"/>
      <c r="F56" s="214" t="inlineStr">
        <is>
          <t>Eixo do rotor (horizontal/ vertical)*</t>
        </is>
      </c>
      <c r="G56" s="439" t="n"/>
      <c r="H56" s="214" t="inlineStr">
        <is>
          <t>Altura Máxima da Pá (m)*</t>
        </is>
      </c>
      <c r="I56" s="439" t="n"/>
      <c r="J56" s="214" t="inlineStr">
        <is>
          <t>Diâmetro do rotor (m)</t>
        </is>
      </c>
      <c r="K56" s="439" t="n"/>
      <c r="L56" s="214" t="inlineStr">
        <is>
          <t>Controle de Potência (1)</t>
        </is>
      </c>
      <c r="M56" s="439" t="n"/>
      <c r="N56" s="214" t="inlineStr">
        <is>
          <t>Velocidade de rotação nominal / Sobrevelocidade máxima (rpm)</t>
        </is>
      </c>
      <c r="O56" s="439" t="n"/>
      <c r="P56" s="214" t="inlineStr">
        <is>
          <t>Velocidade do vento (m/s)</t>
        </is>
      </c>
      <c r="Q56" s="419" t="n"/>
      <c r="R56" s="419" t="n"/>
      <c r="S56" s="419" t="n"/>
      <c r="T56" s="419" t="n"/>
      <c r="U56" s="420" t="n"/>
      <c r="V56" s="214" t="inlineStr">
        <is>
          <t>Potência Gerada (kW)</t>
        </is>
      </c>
      <c r="W56" s="419" t="n"/>
      <c r="X56" s="419" t="n"/>
      <c r="Y56" s="419" t="n"/>
      <c r="Z56" s="419" t="n"/>
      <c r="AA56" s="420" t="n"/>
      <c r="AB56" s="214" t="inlineStr">
        <is>
          <t>Momento de Inércia da Massa Girante   MD2/4 (kg.m2)</t>
        </is>
      </c>
      <c r="AC56" s="439" t="n"/>
      <c r="AD56" s="214" t="inlineStr">
        <is>
          <t>Documento de certificação da turbina (2)</t>
        </is>
      </c>
      <c r="AE56" s="439" t="n"/>
      <c r="AF56" s="1" t="n"/>
      <c r="AG56" s="37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39.95" customHeight="1">
      <c r="B57" s="62" t="n"/>
      <c r="C57" s="440" t="n"/>
      <c r="D57" s="441" t="n"/>
      <c r="E57" s="442" t="n"/>
      <c r="F57" s="441" t="n"/>
      <c r="G57" s="442" t="n"/>
      <c r="H57" s="441" t="n"/>
      <c r="I57" s="442" t="n"/>
      <c r="J57" s="441" t="n"/>
      <c r="K57" s="442" t="n"/>
      <c r="L57" s="441" t="n"/>
      <c r="M57" s="442" t="n"/>
      <c r="N57" s="441" t="n"/>
      <c r="O57" s="442" t="n"/>
      <c r="P57" s="214" t="inlineStr">
        <is>
          <t>Entrada em serviço          (cut-in)</t>
        </is>
      </c>
      <c r="Q57" s="419" t="n"/>
      <c r="R57" s="420" t="n"/>
      <c r="S57" s="214" t="inlineStr">
        <is>
          <t xml:space="preserve">Saída de seviço       (cut-out) </t>
        </is>
      </c>
      <c r="T57" s="419" t="n"/>
      <c r="U57" s="420" t="n"/>
      <c r="V57" s="214" t="inlineStr">
        <is>
          <t>Entrada em serviço     (cut-in)</t>
        </is>
      </c>
      <c r="W57" s="419" t="n"/>
      <c r="X57" s="420" t="n"/>
      <c r="Y57" s="214" t="inlineStr">
        <is>
          <t xml:space="preserve">Saída de seviço       (cut-out)  </t>
        </is>
      </c>
      <c r="Z57" s="419" t="n"/>
      <c r="AA57" s="420" t="n"/>
      <c r="AB57" s="441" t="n"/>
      <c r="AC57" s="442" t="n"/>
      <c r="AD57" s="441" t="n"/>
      <c r="AE57" s="442" t="n"/>
      <c r="AF57" s="1" t="n"/>
      <c r="AG57" s="37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20.1" customHeight="1">
      <c r="B58" s="62" t="n"/>
      <c r="C58" s="159" t="n">
        <v>1</v>
      </c>
      <c r="D58" s="148" t="n"/>
      <c r="E58" s="423" t="n"/>
      <c r="F58" s="148" t="n"/>
      <c r="G58" s="423" t="n"/>
      <c r="H58" s="148" t="n"/>
      <c r="I58" s="423" t="n"/>
      <c r="J58" s="148" t="n"/>
      <c r="K58" s="423" t="n"/>
      <c r="L58" s="148" t="n"/>
      <c r="M58" s="423" t="n"/>
      <c r="N58" s="148" t="n"/>
      <c r="O58" s="423" t="n"/>
      <c r="P58" s="148" t="n"/>
      <c r="Q58" s="422" t="n"/>
      <c r="R58" s="423" t="n"/>
      <c r="S58" s="148" t="n"/>
      <c r="T58" s="422" t="n"/>
      <c r="U58" s="423" t="n"/>
      <c r="V58" s="427" t="n"/>
      <c r="W58" s="422" t="n"/>
      <c r="X58" s="423" t="n"/>
      <c r="Y58" s="421" t="n"/>
      <c r="Z58" s="422" t="n"/>
      <c r="AA58" s="423" t="n"/>
      <c r="AB58" s="196" t="n"/>
      <c r="AC58" s="423" t="n"/>
      <c r="AD58" s="196" t="n"/>
      <c r="AE58" s="423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B59" s="62" t="n"/>
      <c r="C59" s="159" t="n">
        <v>2</v>
      </c>
      <c r="D59" s="150" t="n"/>
      <c r="E59" s="152" t="n"/>
      <c r="F59" s="148" t="n"/>
      <c r="G59" s="423" t="n"/>
      <c r="H59" s="148" t="n"/>
      <c r="I59" s="423" t="n"/>
      <c r="J59" s="148" t="n"/>
      <c r="K59" s="423" t="n"/>
      <c r="L59" s="148" t="n"/>
      <c r="M59" s="423" t="n"/>
      <c r="N59" s="148" t="n"/>
      <c r="O59" s="423" t="n"/>
      <c r="P59" s="148" t="n"/>
      <c r="Q59" s="422" t="n"/>
      <c r="R59" s="423" t="n"/>
      <c r="S59" s="148" t="n"/>
      <c r="T59" s="422" t="n"/>
      <c r="U59" s="423" t="n"/>
      <c r="V59" s="427" t="n"/>
      <c r="W59" s="422" t="n"/>
      <c r="X59" s="423" t="n"/>
      <c r="Y59" s="421" t="n"/>
      <c r="Z59" s="422" t="n"/>
      <c r="AA59" s="423" t="n"/>
      <c r="AB59" s="196" t="n"/>
      <c r="AC59" s="423" t="n"/>
      <c r="AD59" s="196" t="n"/>
      <c r="AE59" s="423" t="n"/>
      <c r="AF59" s="1" t="n"/>
      <c r="AG59" s="37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20.1" customHeight="1">
      <c r="B60" s="62" t="n"/>
      <c r="C60" s="159" t="n">
        <v>3</v>
      </c>
      <c r="D60" s="150" t="n"/>
      <c r="E60" s="152" t="n"/>
      <c r="F60" s="148" t="n"/>
      <c r="G60" s="423" t="n"/>
      <c r="H60" s="148" t="n"/>
      <c r="I60" s="423" t="n"/>
      <c r="J60" s="148" t="n"/>
      <c r="K60" s="423" t="n"/>
      <c r="L60" s="148" t="n"/>
      <c r="M60" s="423" t="n"/>
      <c r="N60" s="148" t="n"/>
      <c r="O60" s="423" t="n"/>
      <c r="P60" s="148" t="n"/>
      <c r="Q60" s="422" t="n"/>
      <c r="R60" s="423" t="n"/>
      <c r="S60" s="148" t="n"/>
      <c r="T60" s="422" t="n"/>
      <c r="U60" s="423" t="n"/>
      <c r="V60" s="427" t="n"/>
      <c r="W60" s="422" t="n"/>
      <c r="X60" s="423" t="n"/>
      <c r="Y60" s="421" t="n"/>
      <c r="Z60" s="422" t="n"/>
      <c r="AA60" s="423" t="n"/>
      <c r="AB60" s="196" t="n"/>
      <c r="AC60" s="423" t="n"/>
      <c r="AD60" s="196" t="n"/>
      <c r="AE60" s="423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>
      <c r="B61" s="62" t="n"/>
      <c r="C61" s="159" t="n">
        <v>4</v>
      </c>
      <c r="D61" s="150" t="n"/>
      <c r="E61" s="152" t="n"/>
      <c r="F61" s="148" t="n"/>
      <c r="G61" s="423" t="n"/>
      <c r="H61" s="148" t="n"/>
      <c r="I61" s="423" t="n"/>
      <c r="J61" s="148" t="n"/>
      <c r="K61" s="423" t="n"/>
      <c r="L61" s="148" t="n"/>
      <c r="M61" s="423" t="n"/>
      <c r="N61" s="148" t="n"/>
      <c r="O61" s="423" t="n"/>
      <c r="P61" s="148" t="n"/>
      <c r="Q61" s="422" t="n"/>
      <c r="R61" s="423" t="n"/>
      <c r="S61" s="148" t="n"/>
      <c r="T61" s="422" t="n"/>
      <c r="U61" s="423" t="n"/>
      <c r="V61" s="427" t="n"/>
      <c r="W61" s="422" t="n"/>
      <c r="X61" s="423" t="n"/>
      <c r="Y61" s="421" t="n"/>
      <c r="Z61" s="422" t="n"/>
      <c r="AA61" s="423" t="n"/>
      <c r="AB61" s="196" t="n"/>
      <c r="AC61" s="423" t="n"/>
      <c r="AD61" s="196" t="n"/>
      <c r="AE61" s="423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20.1" customHeight="1">
      <c r="B62" s="62" t="n"/>
      <c r="C62" s="159" t="n">
        <v>5</v>
      </c>
      <c r="D62" s="150" t="n"/>
      <c r="E62" s="152" t="n"/>
      <c r="F62" s="148" t="n"/>
      <c r="G62" s="423" t="n"/>
      <c r="H62" s="148" t="n"/>
      <c r="I62" s="423" t="n"/>
      <c r="J62" s="148" t="n"/>
      <c r="K62" s="423" t="n"/>
      <c r="L62" s="148" t="n"/>
      <c r="M62" s="423" t="n"/>
      <c r="N62" s="148" t="n"/>
      <c r="O62" s="423" t="n"/>
      <c r="P62" s="148" t="n"/>
      <c r="Q62" s="422" t="n"/>
      <c r="R62" s="423" t="n"/>
      <c r="S62" s="148" t="n"/>
      <c r="T62" s="422" t="n"/>
      <c r="U62" s="423" t="n"/>
      <c r="V62" s="427" t="n"/>
      <c r="W62" s="422" t="n"/>
      <c r="X62" s="423" t="n"/>
      <c r="Y62" s="421" t="n"/>
      <c r="Z62" s="422" t="n"/>
      <c r="AA62" s="423" t="n"/>
      <c r="AB62" s="196" t="n"/>
      <c r="AC62" s="423" t="n"/>
      <c r="AD62" s="196" t="n"/>
      <c r="AE62" s="423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20.1" customHeight="1">
      <c r="B63" s="62" t="n"/>
      <c r="C63" s="159" t="n">
        <v>6</v>
      </c>
      <c r="D63" s="150" t="n"/>
      <c r="E63" s="152" t="n"/>
      <c r="F63" s="148" t="n"/>
      <c r="G63" s="423" t="n"/>
      <c r="H63" s="148" t="n"/>
      <c r="I63" s="423" t="n"/>
      <c r="J63" s="148" t="n"/>
      <c r="K63" s="423" t="n"/>
      <c r="L63" s="148" t="n"/>
      <c r="M63" s="423" t="n"/>
      <c r="N63" s="148" t="n"/>
      <c r="O63" s="423" t="n"/>
      <c r="P63" s="148" t="n"/>
      <c r="Q63" s="422" t="n"/>
      <c r="R63" s="423" t="n"/>
      <c r="S63" s="148" t="n"/>
      <c r="T63" s="422" t="n"/>
      <c r="U63" s="423" t="n"/>
      <c r="V63" s="427" t="n"/>
      <c r="W63" s="422" t="n"/>
      <c r="X63" s="423" t="n"/>
      <c r="Y63" s="421" t="n"/>
      <c r="Z63" s="422" t="n"/>
      <c r="AA63" s="423" t="n"/>
      <c r="AB63" s="196" t="n"/>
      <c r="AC63" s="423" t="n"/>
      <c r="AD63" s="196" t="n"/>
      <c r="AE63" s="423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20.1" customHeight="1">
      <c r="B64" s="62" t="n"/>
      <c r="C64" s="159" t="n">
        <v>7</v>
      </c>
      <c r="D64" s="148" t="n"/>
      <c r="E64" s="423" t="n"/>
      <c r="F64" s="148" t="n"/>
      <c r="G64" s="423" t="n"/>
      <c r="H64" s="148" t="n"/>
      <c r="I64" s="423" t="n"/>
      <c r="J64" s="148" t="n"/>
      <c r="K64" s="423" t="n"/>
      <c r="L64" s="148" t="n"/>
      <c r="M64" s="423" t="n"/>
      <c r="N64" s="148" t="n"/>
      <c r="O64" s="423" t="n"/>
      <c r="P64" s="148" t="n"/>
      <c r="Q64" s="422" t="n"/>
      <c r="R64" s="423" t="n"/>
      <c r="S64" s="148" t="n"/>
      <c r="T64" s="422" t="n"/>
      <c r="U64" s="423" t="n"/>
      <c r="V64" s="427" t="n"/>
      <c r="W64" s="422" t="n"/>
      <c r="X64" s="423" t="n"/>
      <c r="Y64" s="421" t="n"/>
      <c r="Z64" s="422" t="n"/>
      <c r="AA64" s="423" t="n"/>
      <c r="AB64" s="196" t="n"/>
      <c r="AC64" s="423" t="n"/>
      <c r="AD64" s="196" t="n"/>
      <c r="AE64" s="423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159" t="n">
        <v>8</v>
      </c>
      <c r="D65" s="148" t="n"/>
      <c r="E65" s="423" t="n"/>
      <c r="F65" s="148" t="n"/>
      <c r="G65" s="423" t="n"/>
      <c r="H65" s="148" t="n"/>
      <c r="I65" s="423" t="n"/>
      <c r="J65" s="148" t="n"/>
      <c r="K65" s="423" t="n"/>
      <c r="L65" s="148" t="n"/>
      <c r="M65" s="423" t="n"/>
      <c r="N65" s="148" t="n"/>
      <c r="O65" s="423" t="n"/>
      <c r="P65" s="148" t="n"/>
      <c r="Q65" s="422" t="n"/>
      <c r="R65" s="423" t="n"/>
      <c r="S65" s="148" t="n"/>
      <c r="T65" s="422" t="n"/>
      <c r="U65" s="423" t="n"/>
      <c r="V65" s="427" t="n"/>
      <c r="W65" s="422" t="n"/>
      <c r="X65" s="423" t="n"/>
      <c r="Y65" s="421" t="n"/>
      <c r="Z65" s="422" t="n"/>
      <c r="AA65" s="423" t="n"/>
      <c r="AB65" s="196" t="n"/>
      <c r="AC65" s="423" t="n"/>
      <c r="AD65" s="196" t="n"/>
      <c r="AE65" s="423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159" t="n">
        <v>9</v>
      </c>
      <c r="D66" s="148" t="n"/>
      <c r="E66" s="423" t="n"/>
      <c r="F66" s="148" t="n"/>
      <c r="G66" s="423" t="n"/>
      <c r="H66" s="148" t="n"/>
      <c r="I66" s="423" t="n"/>
      <c r="J66" s="148" t="n"/>
      <c r="K66" s="423" t="n"/>
      <c r="L66" s="148" t="n"/>
      <c r="M66" s="423" t="n"/>
      <c r="N66" s="148" t="n"/>
      <c r="O66" s="423" t="n"/>
      <c r="P66" s="148" t="n"/>
      <c r="Q66" s="422" t="n"/>
      <c r="R66" s="423" t="n"/>
      <c r="S66" s="148" t="n"/>
      <c r="T66" s="422" t="n"/>
      <c r="U66" s="423" t="n"/>
      <c r="V66" s="427" t="n"/>
      <c r="W66" s="422" t="n"/>
      <c r="X66" s="423" t="n"/>
      <c r="Y66" s="421" t="n"/>
      <c r="Z66" s="422" t="n"/>
      <c r="AA66" s="423" t="n"/>
      <c r="AB66" s="196" t="n"/>
      <c r="AC66" s="423" t="n"/>
      <c r="AD66" s="196" t="n"/>
      <c r="AE66" s="423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159" t="n">
        <v>10</v>
      </c>
      <c r="D67" s="148" t="n"/>
      <c r="E67" s="423" t="n"/>
      <c r="F67" s="148" t="n"/>
      <c r="G67" s="423" t="n"/>
      <c r="H67" s="148" t="n"/>
      <c r="I67" s="423" t="n"/>
      <c r="J67" s="148" t="n"/>
      <c r="K67" s="423" t="n"/>
      <c r="L67" s="148" t="n"/>
      <c r="M67" s="423" t="n"/>
      <c r="N67" s="148" t="n"/>
      <c r="O67" s="423" t="n"/>
      <c r="P67" s="148" t="n"/>
      <c r="Q67" s="422" t="n"/>
      <c r="R67" s="423" t="n"/>
      <c r="S67" s="148" t="n"/>
      <c r="T67" s="422" t="n"/>
      <c r="U67" s="423" t="n"/>
      <c r="V67" s="427" t="n"/>
      <c r="W67" s="422" t="n"/>
      <c r="X67" s="423" t="n"/>
      <c r="Y67" s="421" t="n"/>
      <c r="Z67" s="422" t="n"/>
      <c r="AA67" s="423" t="n"/>
      <c r="AB67" s="196" t="n"/>
      <c r="AC67" s="423" t="n"/>
      <c r="AD67" s="196" t="n"/>
      <c r="AE67" s="423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20.1" customHeight="1">
      <c r="B68" s="62" t="n"/>
      <c r="C68" s="74" t="inlineStr">
        <is>
          <t>TOTAL</t>
        </is>
      </c>
      <c r="D68" s="179" t="n"/>
      <c r="E68" s="425" t="n"/>
      <c r="F68" s="425" t="n"/>
      <c r="G68" s="425" t="n"/>
      <c r="H68" s="425" t="n"/>
      <c r="I68" s="425" t="n"/>
      <c r="J68" s="425" t="n"/>
      <c r="K68" s="425" t="n"/>
      <c r="L68" s="425" t="n"/>
      <c r="M68" s="425" t="n"/>
      <c r="N68" s="425" t="n"/>
      <c r="O68" s="425" t="n"/>
      <c r="P68" s="425" t="n"/>
      <c r="Q68" s="425" t="n"/>
      <c r="R68" s="425" t="n"/>
      <c r="S68" s="425" t="n"/>
      <c r="T68" s="425" t="n"/>
      <c r="U68" s="426" t="n"/>
      <c r="V68" s="435">
        <f>IFERROR(SUM(V58:X67),"")</f>
        <v/>
      </c>
      <c r="W68" s="425" t="n"/>
      <c r="X68" s="426" t="n"/>
      <c r="Y68" s="434">
        <f>IFERROR(SUM(Y58:AA67),"")</f>
        <v/>
      </c>
      <c r="Z68" s="425" t="n"/>
      <c r="AA68" s="426" t="n"/>
      <c r="AB68" s="443" t="n"/>
      <c r="AC68" s="425" t="n"/>
      <c r="AD68" s="425" t="n"/>
      <c r="AE68" s="426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15" customHeight="1">
      <c r="B69" s="62" t="n"/>
      <c r="C69" s="69" t="inlineStr">
        <is>
          <t>Obs: No caso de aerogerador não convencional informar a altura máxima atingida pela estrutura.</t>
        </is>
      </c>
      <c r="D69" s="2" t="n"/>
      <c r="E69" s="6" t="n"/>
      <c r="F69" s="28" t="n"/>
      <c r="G69" s="2" t="n"/>
      <c r="H69" s="30" t="n"/>
      <c r="I69" s="2" t="n"/>
      <c r="J69" s="30" t="n"/>
      <c r="K69" s="2" t="n"/>
      <c r="L69" s="30" t="n"/>
      <c r="M69" s="2" t="n"/>
      <c r="N69" s="30" t="n"/>
      <c r="O69" s="2" t="n"/>
      <c r="P69" s="30" t="n"/>
      <c r="Q69" s="2" t="n"/>
      <c r="R69" s="30" t="n"/>
      <c r="S69" s="2" t="n"/>
      <c r="T69" s="30" t="n"/>
      <c r="U69" s="2" t="n"/>
      <c r="V69" s="30" t="n"/>
      <c r="W69" s="2" t="n"/>
      <c r="X69" s="30" t="n"/>
      <c r="Y69" s="2" t="n"/>
      <c r="Z69" s="30" t="n"/>
      <c r="AA69" s="2" t="n"/>
      <c r="AB69" s="30" t="n"/>
      <c r="AC69" s="2" t="n"/>
      <c r="AD69" s="30" t="n"/>
      <c r="AE69" s="2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15" customHeight="1">
      <c r="B70" s="62" t="n"/>
      <c r="C70" s="39" t="inlineStr">
        <is>
          <t>(1) Passo variável(Stall), Estol(pitch), Estol ativo (active stall), etc.</t>
        </is>
      </c>
      <c r="D70" s="66" t="n"/>
      <c r="E70" s="6" t="n"/>
      <c r="F70" s="28" t="n"/>
      <c r="G70" s="2" t="n"/>
      <c r="H70" s="30" t="n"/>
      <c r="I70" s="2" t="n"/>
      <c r="J70" s="30" t="n"/>
      <c r="K70" s="2" t="n"/>
      <c r="L70" s="30" t="n"/>
      <c r="M70" s="2" t="n"/>
      <c r="N70" s="30" t="n"/>
      <c r="O70" s="2" t="n"/>
      <c r="P70" s="30" t="n"/>
      <c r="Q70" s="2" t="n"/>
      <c r="R70" s="30" t="n"/>
      <c r="S70" s="2" t="n"/>
      <c r="T70" s="30" t="n"/>
      <c r="U70" s="2" t="n"/>
      <c r="V70" s="30" t="n"/>
      <c r="W70" s="2" t="n"/>
      <c r="X70" s="30" t="n"/>
      <c r="Y70" s="2" t="n"/>
      <c r="Z70" s="30" t="n"/>
      <c r="AA70" s="2" t="n"/>
      <c r="AB70" s="30" t="n"/>
      <c r="AC70" s="2" t="n"/>
      <c r="AD70" s="30" t="n"/>
      <c r="AE70" s="2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15" customHeight="1">
      <c r="B71" s="62" t="n"/>
      <c r="C71" s="39" t="inlineStr">
        <is>
          <t>(2) Data</t>
        </is>
      </c>
      <c r="D71" s="276" t="n"/>
      <c r="E71" s="276" t="n"/>
      <c r="F71" s="276" t="n"/>
      <c r="G71" s="276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0" t="n"/>
      <c r="Y71" s="2" t="n"/>
      <c r="Z71" s="30" t="n"/>
      <c r="AA71" s="2" t="n"/>
      <c r="AB71" s="30" t="n"/>
      <c r="AC71" s="2" t="n"/>
      <c r="AD71" s="30" t="n"/>
      <c r="AE71" s="2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9.949999999999999" customHeight="1">
      <c r="B72" s="62" t="n"/>
      <c r="C72" s="39" t="n"/>
      <c r="D72" s="276" t="n"/>
      <c r="E72" s="276" t="n"/>
      <c r="F72" s="276" t="n"/>
      <c r="G72" s="276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0" t="n"/>
      <c r="Y72" s="2" t="n"/>
      <c r="Z72" s="30" t="n"/>
      <c r="AA72" s="2" t="n"/>
      <c r="AB72" s="30" t="n"/>
      <c r="AC72" s="2" t="n"/>
      <c r="AD72" s="30" t="n"/>
      <c r="AE72" s="2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15" customHeight="1">
      <c r="B73" s="62" t="n"/>
      <c r="C73" s="168" t="inlineStr">
        <is>
          <t>4. Hidráulica</t>
        </is>
      </c>
      <c r="D73" s="418" t="n"/>
      <c r="E73" s="418" t="n"/>
      <c r="F73" s="418" t="n"/>
      <c r="G73" s="418" t="n"/>
      <c r="H73" s="418" t="n"/>
      <c r="I73" s="418" t="n"/>
      <c r="J73" s="418" t="n"/>
      <c r="K73" s="418" t="n"/>
      <c r="L73" s="418" t="n"/>
      <c r="M73" s="418" t="n"/>
      <c r="N73" s="418" t="n"/>
      <c r="O73" s="418" t="n"/>
      <c r="P73" s="418" t="n"/>
      <c r="Q73" s="418" t="n"/>
      <c r="R73" s="418" t="n"/>
      <c r="S73" s="418" t="n"/>
      <c r="T73" s="418" t="n"/>
      <c r="U73" s="418" t="n"/>
      <c r="V73" s="418" t="n"/>
      <c r="W73" s="418" t="n"/>
      <c r="X73" s="418" t="n"/>
      <c r="Y73" s="418" t="n"/>
      <c r="Z73" s="418" t="n"/>
      <c r="AA73" s="418" t="n"/>
      <c r="AB73" s="418" t="n"/>
      <c r="AC73" s="418" t="n"/>
      <c r="AD73" s="418" t="n"/>
      <c r="AE73" s="418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210" t="inlineStr">
        <is>
          <t>Item</t>
        </is>
      </c>
      <c r="D74" s="444" t="inlineStr">
        <is>
          <t>Rio</t>
        </is>
      </c>
      <c r="E74" s="439" t="n"/>
      <c r="F74" s="190" t="inlineStr">
        <is>
          <t>Bacia / SubBacia</t>
        </is>
      </c>
      <c r="G74" s="419" t="n"/>
      <c r="H74" s="420" t="n"/>
      <c r="I74" s="191" t="inlineStr">
        <is>
          <t>Tipo turbina</t>
        </is>
      </c>
      <c r="J74" s="419" t="n"/>
      <c r="K74" s="420" t="n"/>
      <c r="L74" s="192" t="inlineStr">
        <is>
          <t>Fabricante Turbina</t>
        </is>
      </c>
      <c r="M74" s="436" t="n"/>
      <c r="N74" s="191" t="inlineStr">
        <is>
          <t>Potência Turbina (kVA)</t>
        </is>
      </c>
      <c r="O74" s="419" t="n"/>
      <c r="P74" s="420" t="n"/>
      <c r="Q74" s="191" t="inlineStr">
        <is>
          <t>Fabricante Gerador</t>
        </is>
      </c>
      <c r="R74" s="419" t="n"/>
      <c r="S74" s="420" t="n"/>
      <c r="T74" s="445" t="inlineStr">
        <is>
          <t>Potência do Gerador (kVA)</t>
        </is>
      </c>
      <c r="U74" s="436" t="n"/>
      <c r="V74" s="436" t="n"/>
      <c r="W74" s="439" t="n"/>
      <c r="X74" s="445" t="inlineStr">
        <is>
          <t>Fator de Potência do Gerador</t>
        </is>
      </c>
      <c r="Y74" s="436" t="n"/>
      <c r="Z74" s="436" t="n"/>
      <c r="AA74" s="439" t="n"/>
      <c r="AB74" s="445" t="inlineStr">
        <is>
          <t>Potência do Gerador (kW)</t>
        </is>
      </c>
      <c r="AC74" s="436" t="n"/>
      <c r="AD74" s="436" t="n"/>
      <c r="AE74" s="439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20.1" customHeight="1">
      <c r="B75" s="62" t="n"/>
      <c r="C75" s="159" t="n">
        <v>1</v>
      </c>
      <c r="D75" s="148" t="n"/>
      <c r="E75" s="423" t="n"/>
      <c r="F75" s="148" t="n"/>
      <c r="G75" s="422" t="n"/>
      <c r="H75" s="423" t="n"/>
      <c r="I75" s="148" t="n"/>
      <c r="J75" s="422" t="n"/>
      <c r="K75" s="423" t="n"/>
      <c r="L75" s="148" t="n"/>
      <c r="M75" s="423" t="n"/>
      <c r="N75" s="421" t="n"/>
      <c r="O75" s="422" t="n"/>
      <c r="P75" s="423" t="n"/>
      <c r="Q75" s="148" t="n"/>
      <c r="R75" s="422" t="n"/>
      <c r="S75" s="423" t="n"/>
      <c r="T75" s="446" t="n"/>
      <c r="U75" s="422" t="n"/>
      <c r="V75" s="422" t="n"/>
      <c r="W75" s="422" t="n"/>
      <c r="X75" s="431" t="n"/>
      <c r="Y75" s="422" t="n"/>
      <c r="Z75" s="422" t="n"/>
      <c r="AA75" s="422" t="n"/>
      <c r="AB75" s="447">
        <f>T75*X75</f>
        <v/>
      </c>
      <c r="AC75" s="425" t="n"/>
      <c r="AD75" s="425" t="n"/>
      <c r="AE75" s="426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20.1" customHeight="1">
      <c r="B76" s="62" t="n"/>
      <c r="C76" s="159" t="n">
        <v>2</v>
      </c>
      <c r="D76" s="148" t="n"/>
      <c r="E76" s="423" t="n"/>
      <c r="F76" s="148" t="n"/>
      <c r="G76" s="422" t="n"/>
      <c r="H76" s="423" t="n"/>
      <c r="I76" s="148" t="n"/>
      <c r="J76" s="422" t="n"/>
      <c r="K76" s="423" t="n"/>
      <c r="L76" s="148" t="n"/>
      <c r="M76" s="423" t="n"/>
      <c r="N76" s="421" t="n"/>
      <c r="O76" s="422" t="n"/>
      <c r="P76" s="423" t="n"/>
      <c r="Q76" s="148" t="n"/>
      <c r="R76" s="422" t="n"/>
      <c r="S76" s="423" t="n"/>
      <c r="T76" s="446" t="n"/>
      <c r="U76" s="422" t="n"/>
      <c r="V76" s="422" t="n"/>
      <c r="W76" s="422" t="n"/>
      <c r="X76" s="431" t="n"/>
      <c r="Y76" s="422" t="n"/>
      <c r="Z76" s="422" t="n"/>
      <c r="AA76" s="422" t="n"/>
      <c r="AB76" s="447">
        <f>T76*X76</f>
        <v/>
      </c>
      <c r="AC76" s="425" t="n"/>
      <c r="AD76" s="425" t="n"/>
      <c r="AE76" s="426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20.1" customHeight="1">
      <c r="B77" s="62" t="n"/>
      <c r="C77" s="159" t="n">
        <v>3</v>
      </c>
      <c r="D77" s="148" t="n"/>
      <c r="E77" s="423" t="n"/>
      <c r="F77" s="148" t="n"/>
      <c r="G77" s="422" t="n"/>
      <c r="H77" s="423" t="n"/>
      <c r="I77" s="148" t="n"/>
      <c r="J77" s="422" t="n"/>
      <c r="K77" s="423" t="n"/>
      <c r="L77" s="148" t="n"/>
      <c r="M77" s="423" t="n"/>
      <c r="N77" s="421" t="n"/>
      <c r="O77" s="422" t="n"/>
      <c r="P77" s="423" t="n"/>
      <c r="Q77" s="148" t="n"/>
      <c r="R77" s="422" t="n"/>
      <c r="S77" s="423" t="n"/>
      <c r="T77" s="446" t="n"/>
      <c r="U77" s="422" t="n"/>
      <c r="V77" s="422" t="n"/>
      <c r="W77" s="422" t="n"/>
      <c r="X77" s="431" t="n"/>
      <c r="Y77" s="422" t="n"/>
      <c r="Z77" s="422" t="n"/>
      <c r="AA77" s="422" t="n"/>
      <c r="AB77" s="447">
        <f>T77*X77</f>
        <v/>
      </c>
      <c r="AC77" s="425" t="n"/>
      <c r="AD77" s="425" t="n"/>
      <c r="AE77" s="426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74" t="inlineStr">
        <is>
          <t>TOTAL</t>
        </is>
      </c>
      <c r="D78" s="179" t="n"/>
      <c r="E78" s="425" t="n"/>
      <c r="F78" s="425" t="n"/>
      <c r="G78" s="425" t="n"/>
      <c r="H78" s="425" t="n"/>
      <c r="I78" s="425" t="n"/>
      <c r="J78" s="425" t="n"/>
      <c r="K78" s="425" t="n"/>
      <c r="L78" s="425" t="n"/>
      <c r="M78" s="426" t="n"/>
      <c r="N78" s="434">
        <f>IFERROR(SUM(N75:P77),"")</f>
        <v/>
      </c>
      <c r="O78" s="425" t="n"/>
      <c r="P78" s="426" t="n"/>
      <c r="Q78" s="179" t="n"/>
      <c r="R78" s="425" t="n"/>
      <c r="S78" s="426" t="n"/>
      <c r="T78" s="448">
        <f>IFERROR(SUM(T75:W77),"")</f>
        <v/>
      </c>
      <c r="U78" s="425" t="n"/>
      <c r="V78" s="425" t="n"/>
      <c r="W78" s="425" t="n"/>
      <c r="X78" s="175" t="n"/>
      <c r="Y78" s="425" t="n"/>
      <c r="Z78" s="425" t="n"/>
      <c r="AA78" s="425" t="n"/>
      <c r="AB78" s="435">
        <f>IFERROR(SUM(AB75:AE77),"")</f>
        <v/>
      </c>
      <c r="AC78" s="425" t="n"/>
      <c r="AD78" s="425" t="n"/>
      <c r="AE78" s="426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9.949999999999999" customHeight="1">
      <c r="B79" s="62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15" customHeight="1">
      <c r="B80" s="62" t="n"/>
      <c r="C80" s="168" t="inlineStr">
        <is>
          <t>5. Térmica (Biomassa/Solar Térmica/Cogeração)</t>
        </is>
      </c>
      <c r="D80" s="418" t="n"/>
      <c r="E80" s="418" t="n"/>
      <c r="F80" s="418" t="n"/>
      <c r="G80" s="418" t="n"/>
      <c r="H80" s="418" t="n"/>
      <c r="I80" s="418" t="n"/>
      <c r="J80" s="418" t="n"/>
      <c r="K80" s="418" t="n"/>
      <c r="L80" s="418" t="n"/>
      <c r="M80" s="418" t="n"/>
      <c r="N80" s="418" t="n"/>
      <c r="O80" s="418" t="n"/>
      <c r="P80" s="418" t="n"/>
      <c r="Q80" s="418" t="n"/>
      <c r="R80" s="418" t="n"/>
      <c r="S80" s="418" t="n"/>
      <c r="T80" s="418" t="n"/>
      <c r="U80" s="418" t="n"/>
      <c r="V80" s="418" t="n"/>
      <c r="W80" s="418" t="n"/>
      <c r="X80" s="418" t="n"/>
      <c r="Y80" s="418" t="n"/>
      <c r="Z80" s="418" t="n"/>
      <c r="AA80" s="418" t="n"/>
      <c r="AB80" s="418" t="n"/>
      <c r="AC80" s="418" t="n"/>
      <c r="AD80" s="418" t="n"/>
      <c r="AE80" s="418" t="n"/>
      <c r="AF80" s="1" t="n"/>
      <c r="AG80" s="37" t="n"/>
      <c r="AH80" s="59" t="n"/>
      <c r="AI80" s="59" t="n"/>
      <c r="AJ80" s="59" t="n"/>
      <c r="AK80" s="59" t="n"/>
      <c r="AL80" s="59" t="n"/>
      <c r="AM80" s="59" t="n"/>
      <c r="AN80" s="59" t="n"/>
      <c r="AO80" s="59" t="n"/>
      <c r="AP80" s="59" t="n"/>
      <c r="AQ80" s="59" t="n"/>
      <c r="AR80" s="59" t="n"/>
      <c r="AS80" s="59" t="n"/>
      <c r="AT80" s="59" t="n"/>
      <c r="AU80" s="59" t="n"/>
      <c r="AV80" s="59" t="n"/>
      <c r="AW80" s="59" t="n"/>
      <c r="AX80" s="59" t="n"/>
      <c r="AY80" s="59" t="n"/>
      <c r="AZ80" s="59" t="n"/>
      <c r="BA80" s="59" t="n"/>
      <c r="BB80" s="59" t="n"/>
      <c r="BC80" s="59" t="n"/>
      <c r="BD80" s="59" t="n"/>
      <c r="BE80" s="59" t="n"/>
      <c r="BF80" s="59" t="n"/>
      <c r="BG80" s="59" t="n"/>
      <c r="BH80" s="59" t="n"/>
      <c r="BI80" s="59" t="n"/>
      <c r="BJ80" s="59" t="n"/>
      <c r="BK80" s="59" t="n"/>
      <c r="BL80" s="59" t="n"/>
      <c r="BM80" s="59" t="n"/>
      <c r="BN80" s="59" t="n"/>
      <c r="BO80" s="59" t="n"/>
      <c r="BP80" s="59" t="n"/>
      <c r="BQ80" s="59" t="n"/>
      <c r="BR80" s="59" t="n"/>
      <c r="BS80" s="59" t="n"/>
      <c r="BT80" s="59" t="n"/>
      <c r="BU80" s="59" t="n"/>
    </row>
    <row r="81" ht="20.1" customHeight="1">
      <c r="B81" s="62" t="n"/>
      <c r="C81" s="169" t="inlineStr">
        <is>
          <t>Informação</t>
        </is>
      </c>
      <c r="D81" s="419" t="n"/>
      <c r="E81" s="419" t="n"/>
      <c r="F81" s="419" t="n"/>
      <c r="G81" s="419" t="n"/>
      <c r="H81" s="171" t="inlineStr">
        <is>
          <t>Especificação</t>
        </is>
      </c>
      <c r="I81" s="419" t="n"/>
      <c r="J81" s="419" t="n"/>
      <c r="K81" s="419" t="n"/>
      <c r="L81" s="419" t="n"/>
      <c r="M81" s="419" t="n"/>
      <c r="N81" s="420" t="n"/>
      <c r="O81" s="171" t="inlineStr">
        <is>
          <t>Unidade</t>
        </is>
      </c>
      <c r="P81" s="420" t="n"/>
      <c r="Q81" s="171" t="inlineStr">
        <is>
          <t>Periodicidade</t>
        </is>
      </c>
      <c r="R81" s="419" t="n"/>
      <c r="S81" s="419" t="n"/>
      <c r="T81" s="420" t="n"/>
      <c r="U81" s="171" t="inlineStr">
        <is>
          <t>Observação</t>
        </is>
      </c>
      <c r="V81" s="419" t="n"/>
      <c r="W81" s="419" t="n"/>
      <c r="X81" s="419" t="n"/>
      <c r="Y81" s="419" t="n"/>
      <c r="Z81" s="419" t="n"/>
      <c r="AA81" s="419" t="n"/>
      <c r="AB81" s="419" t="n"/>
      <c r="AC81" s="419" t="n"/>
      <c r="AD81" s="419" t="n"/>
      <c r="AE81" s="420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20.1" customHeight="1">
      <c r="B82" s="62" t="n"/>
      <c r="C82" s="166" t="inlineStr">
        <is>
          <t>Fabricante das Turbinas*</t>
        </is>
      </c>
      <c r="D82" s="419" t="n"/>
      <c r="E82" s="419" t="n"/>
      <c r="F82" s="419" t="n"/>
      <c r="G82" s="419" t="n"/>
      <c r="H82" s="148" t="n"/>
      <c r="I82" s="422" t="n"/>
      <c r="J82" s="422" t="n"/>
      <c r="K82" s="422" t="n"/>
      <c r="L82" s="422" t="n"/>
      <c r="M82" s="422" t="n"/>
      <c r="N82" s="423" t="n"/>
      <c r="O82" s="159" t="n"/>
      <c r="P82" s="420" t="n"/>
      <c r="Q82" s="449" t="n"/>
      <c r="R82" s="422" t="n"/>
      <c r="S82" s="422" t="n"/>
      <c r="T82" s="423" t="n"/>
      <c r="U82" s="163" t="n"/>
      <c r="V82" s="422" t="n"/>
      <c r="W82" s="422" t="n"/>
      <c r="X82" s="422" t="n"/>
      <c r="Y82" s="422" t="n"/>
      <c r="Z82" s="422" t="n"/>
      <c r="AA82" s="422" t="n"/>
      <c r="AB82" s="422" t="n"/>
      <c r="AC82" s="422" t="n"/>
      <c r="AD82" s="422" t="n"/>
      <c r="AE82" s="423" t="n"/>
      <c r="AF82" s="1" t="n"/>
      <c r="AG82" s="37" t="n"/>
      <c r="AH82" s="59" t="n"/>
      <c r="AI82" s="59" t="n"/>
      <c r="AJ82" s="59" t="n"/>
      <c r="AK82" s="59" t="n"/>
      <c r="AL82" s="59" t="n"/>
      <c r="AM82" s="59" t="n"/>
      <c r="AN82" s="59" t="n"/>
      <c r="AO82" s="59" t="n"/>
      <c r="AP82" s="59" t="n"/>
      <c r="AQ82" s="59" t="n"/>
      <c r="AR82" s="59" t="n"/>
      <c r="AS82" s="59" t="n"/>
      <c r="AT82" s="59" t="n"/>
      <c r="AU82" s="59" t="n"/>
      <c r="AV82" s="59" t="n"/>
      <c r="AW82" s="59" t="n"/>
      <c r="AX82" s="59" t="n"/>
      <c r="AY82" s="59" t="n"/>
      <c r="AZ82" s="59" t="n"/>
      <c r="BA82" s="59" t="n"/>
      <c r="BB82" s="59" t="n"/>
      <c r="BC82" s="59" t="n"/>
      <c r="BD82" s="59" t="n"/>
      <c r="BE82" s="59" t="n"/>
      <c r="BF82" s="59" t="n"/>
      <c r="BG82" s="59" t="n"/>
      <c r="BH82" s="59" t="n"/>
      <c r="BI82" s="59" t="n"/>
      <c r="BJ82" s="59" t="n"/>
      <c r="BK82" s="59" t="n"/>
      <c r="BL82" s="59" t="n"/>
      <c r="BM82" s="59" t="n"/>
      <c r="BN82" s="59" t="n"/>
      <c r="BO82" s="59" t="n"/>
      <c r="BP82" s="59" t="n"/>
      <c r="BQ82" s="59" t="n"/>
      <c r="BR82" s="59" t="n"/>
      <c r="BS82" s="59" t="n"/>
      <c r="BT82" s="59" t="n"/>
      <c r="BU82" s="59" t="n"/>
    </row>
    <row r="83" ht="20.1" customHeight="1">
      <c r="B83" s="62" t="n"/>
      <c r="C83" s="156" t="inlineStr">
        <is>
          <t>Tipo de Turbina* (1)</t>
        </is>
      </c>
      <c r="D83" s="419" t="n"/>
      <c r="E83" s="419" t="n"/>
      <c r="F83" s="419" t="n"/>
      <c r="G83" s="419" t="n"/>
      <c r="H83" s="148" t="n"/>
      <c r="I83" s="422" t="n"/>
      <c r="J83" s="422" t="n"/>
      <c r="K83" s="422" t="n"/>
      <c r="L83" s="422" t="n"/>
      <c r="M83" s="422" t="n"/>
      <c r="N83" s="423" t="n"/>
      <c r="O83" s="159" t="n"/>
      <c r="P83" s="420" t="n"/>
      <c r="Q83" s="449" t="n"/>
      <c r="R83" s="422" t="n"/>
      <c r="S83" s="422" t="n"/>
      <c r="T83" s="423" t="n"/>
      <c r="U83" s="163" t="n"/>
      <c r="V83" s="422" t="n"/>
      <c r="W83" s="422" t="n"/>
      <c r="X83" s="422" t="n"/>
      <c r="Y83" s="422" t="n"/>
      <c r="Z83" s="422" t="n"/>
      <c r="AA83" s="422" t="n"/>
      <c r="AB83" s="422" t="n"/>
      <c r="AC83" s="422" t="n"/>
      <c r="AD83" s="422" t="n"/>
      <c r="AE83" s="423" t="n"/>
      <c r="AF83" s="1" t="n"/>
      <c r="AG83" s="37" t="n"/>
      <c r="AH83" s="59" t="n"/>
      <c r="AI83" s="59" t="n"/>
      <c r="AJ83" s="59" t="n"/>
      <c r="AK83" s="59" t="n"/>
      <c r="AL83" s="59" t="n"/>
      <c r="AM83" s="59" t="n"/>
      <c r="AN83" s="59" t="n"/>
      <c r="AO83" s="59" t="n"/>
      <c r="AP83" s="59" t="n"/>
      <c r="AQ83" s="59" t="n"/>
      <c r="AR83" s="59" t="n"/>
      <c r="AS83" s="59" t="n"/>
      <c r="AT83" s="59" t="n"/>
      <c r="AU83" s="59" t="n"/>
      <c r="AV83" s="59" t="n"/>
      <c r="AW83" s="59" t="n"/>
      <c r="AX83" s="59" t="n"/>
      <c r="AY83" s="59" t="n"/>
      <c r="AZ83" s="59" t="n"/>
      <c r="BA83" s="59" t="n"/>
      <c r="BB83" s="59" t="n"/>
      <c r="BC83" s="59" t="n"/>
      <c r="BD83" s="59" t="n"/>
      <c r="BE83" s="59" t="n"/>
      <c r="BF83" s="59" t="n"/>
      <c r="BG83" s="59" t="n"/>
      <c r="BH83" s="59" t="n"/>
      <c r="BI83" s="59" t="n"/>
      <c r="BJ83" s="59" t="n"/>
      <c r="BK83" s="59" t="n"/>
      <c r="BL83" s="59" t="n"/>
      <c r="BM83" s="59" t="n"/>
      <c r="BN83" s="59" t="n"/>
      <c r="BO83" s="59" t="n"/>
      <c r="BP83" s="59" t="n"/>
      <c r="BQ83" s="59" t="n"/>
      <c r="BR83" s="59" t="n"/>
      <c r="BS83" s="59" t="n"/>
      <c r="BT83" s="59" t="n"/>
      <c r="BU83" s="59" t="n"/>
    </row>
    <row r="84" ht="20.1" customHeight="1">
      <c r="B84" s="62" t="n"/>
      <c r="C84" s="156" t="inlineStr">
        <is>
          <t>Fabricante/Modelo do Gerador</t>
        </is>
      </c>
      <c r="D84" s="419" t="n"/>
      <c r="E84" s="419" t="n"/>
      <c r="F84" s="419" t="n"/>
      <c r="G84" s="419" t="n"/>
      <c r="H84" s="148" t="n"/>
      <c r="I84" s="422" t="n"/>
      <c r="J84" s="422" t="n"/>
      <c r="K84" s="422" t="n"/>
      <c r="L84" s="422" t="n"/>
      <c r="M84" s="422" t="n"/>
      <c r="N84" s="423" t="n"/>
      <c r="O84" s="159" t="n"/>
      <c r="P84" s="420" t="n"/>
      <c r="Q84" s="449" t="n"/>
      <c r="R84" s="422" t="n"/>
      <c r="S84" s="422" t="n"/>
      <c r="T84" s="423" t="n"/>
      <c r="U84" s="163" t="n"/>
      <c r="V84" s="422" t="n"/>
      <c r="W84" s="422" t="n"/>
      <c r="X84" s="422" t="n"/>
      <c r="Y84" s="422" t="n"/>
      <c r="Z84" s="422" t="n"/>
      <c r="AA84" s="422" t="n"/>
      <c r="AB84" s="422" t="n"/>
      <c r="AC84" s="422" t="n"/>
      <c r="AD84" s="422" t="n"/>
      <c r="AE84" s="423" t="n"/>
      <c r="AF84" s="1" t="n"/>
      <c r="AG84" s="37" t="n"/>
      <c r="AH84" s="59" t="n"/>
      <c r="AI84" s="59" t="n"/>
      <c r="AJ84" s="59" t="n"/>
      <c r="AK84" s="59" t="n"/>
      <c r="AL84" s="59" t="n"/>
      <c r="AM84" s="59" t="n"/>
      <c r="AN84" s="59" t="n"/>
      <c r="AO84" s="59" t="n"/>
      <c r="AP84" s="59" t="n"/>
      <c r="AQ84" s="59" t="n"/>
      <c r="AR84" s="59" t="n"/>
      <c r="AS84" s="59" t="n"/>
      <c r="AT84" s="59" t="n"/>
      <c r="AU84" s="59" t="n"/>
      <c r="AV84" s="59" t="n"/>
      <c r="AW84" s="59" t="n"/>
      <c r="AX84" s="59" t="n"/>
      <c r="AY84" s="59" t="n"/>
      <c r="AZ84" s="59" t="n"/>
      <c r="BA84" s="59" t="n"/>
      <c r="BB84" s="59" t="n"/>
      <c r="BC84" s="59" t="n"/>
      <c r="BD84" s="59" t="n"/>
      <c r="BE84" s="59" t="n"/>
      <c r="BF84" s="59" t="n"/>
      <c r="BG84" s="59" t="n"/>
      <c r="BH84" s="59" t="n"/>
      <c r="BI84" s="59" t="n"/>
      <c r="BJ84" s="59" t="n"/>
      <c r="BK84" s="59" t="n"/>
      <c r="BL84" s="59" t="n"/>
      <c r="BM84" s="59" t="n"/>
      <c r="BN84" s="59" t="n"/>
      <c r="BO84" s="59" t="n"/>
      <c r="BP84" s="59" t="n"/>
      <c r="BQ84" s="59" t="n"/>
      <c r="BR84" s="59" t="n"/>
      <c r="BS84" s="59" t="n"/>
      <c r="BT84" s="59" t="n"/>
      <c r="BU84" s="59" t="n"/>
    </row>
    <row r="85" ht="20.1" customHeight="1">
      <c r="B85" s="62" t="n"/>
      <c r="C85" s="156" t="inlineStr">
        <is>
          <t>Potência Nominal de Placa</t>
        </is>
      </c>
      <c r="D85" s="419" t="n"/>
      <c r="E85" s="419" t="n"/>
      <c r="F85" s="419" t="n"/>
      <c r="G85" s="419" t="n"/>
      <c r="H85" s="450" t="n"/>
      <c r="I85" s="422" t="n"/>
      <c r="J85" s="422" t="n"/>
      <c r="K85" s="422" t="n"/>
      <c r="L85" s="422" t="n"/>
      <c r="M85" s="422" t="n"/>
      <c r="N85" s="423" t="n"/>
      <c r="O85" s="164" t="inlineStr">
        <is>
          <t>kVA</t>
        </is>
      </c>
      <c r="P85" s="420" t="n"/>
      <c r="Q85" s="449" t="n"/>
      <c r="R85" s="422" t="n"/>
      <c r="S85" s="422" t="n"/>
      <c r="T85" s="423" t="n"/>
      <c r="U85" s="163" t="n"/>
      <c r="V85" s="422" t="n"/>
      <c r="W85" s="422" t="n"/>
      <c r="X85" s="422" t="n"/>
      <c r="Y85" s="422" t="n"/>
      <c r="Z85" s="422" t="n"/>
      <c r="AA85" s="422" t="n"/>
      <c r="AB85" s="422" t="n"/>
      <c r="AC85" s="422" t="n"/>
      <c r="AD85" s="422" t="n"/>
      <c r="AE85" s="423" t="n"/>
      <c r="AF85" s="1" t="n"/>
      <c r="AG85" s="37" t="n"/>
      <c r="AH85" s="59" t="n"/>
      <c r="AI85" s="59" t="n"/>
      <c r="AJ85" s="59" t="n"/>
      <c r="AK85" s="59" t="n"/>
      <c r="AL85" s="59" t="n"/>
      <c r="AM85" s="59" t="n"/>
      <c r="AN85" s="59" t="n"/>
      <c r="AO85" s="59" t="n"/>
      <c r="AP85" s="59" t="n"/>
      <c r="AQ85" s="59" t="n"/>
      <c r="AR85" s="59" t="n"/>
      <c r="AS85" s="59" t="n"/>
      <c r="AT85" s="59" t="n"/>
      <c r="AU85" s="59" t="n"/>
      <c r="AV85" s="59" t="n"/>
      <c r="AW85" s="59" t="n"/>
      <c r="AX85" s="59" t="n"/>
      <c r="AY85" s="59" t="n"/>
      <c r="AZ85" s="59" t="n"/>
      <c r="BA85" s="59" t="n"/>
      <c r="BB85" s="59" t="n"/>
      <c r="BC85" s="59" t="n"/>
      <c r="BD85" s="59" t="n"/>
      <c r="BE85" s="59" t="n"/>
      <c r="BF85" s="59" t="n"/>
      <c r="BG85" s="59" t="n"/>
      <c r="BH85" s="59" t="n"/>
      <c r="BI85" s="59" t="n"/>
      <c r="BJ85" s="59" t="n"/>
      <c r="BK85" s="59" t="n"/>
      <c r="BL85" s="59" t="n"/>
      <c r="BM85" s="59" t="n"/>
      <c r="BN85" s="59" t="n"/>
      <c r="BO85" s="59" t="n"/>
      <c r="BP85" s="59" t="n"/>
      <c r="BQ85" s="59" t="n"/>
      <c r="BR85" s="59" t="n"/>
      <c r="BS85" s="59" t="n"/>
      <c r="BT85" s="59" t="n"/>
      <c r="BU85" s="59" t="n"/>
    </row>
    <row r="86" ht="20.1" customHeight="1">
      <c r="B86" s="62" t="n"/>
      <c r="C86" s="156" t="inlineStr">
        <is>
          <t>Potência Máxima em Regime Contínuo</t>
        </is>
      </c>
      <c r="D86" s="419" t="n"/>
      <c r="E86" s="419" t="n"/>
      <c r="F86" s="419" t="n"/>
      <c r="G86" s="419" t="n"/>
      <c r="H86" s="435">
        <f>H85*H94</f>
        <v/>
      </c>
      <c r="I86" s="425" t="n"/>
      <c r="J86" s="425" t="n"/>
      <c r="K86" s="425" t="n"/>
      <c r="L86" s="425" t="n"/>
      <c r="M86" s="425" t="n"/>
      <c r="N86" s="426" t="n"/>
      <c r="O86" s="164" t="inlineStr">
        <is>
          <t>kW</t>
        </is>
      </c>
      <c r="P86" s="420" t="n"/>
      <c r="Q86" s="449" t="n"/>
      <c r="R86" s="422" t="n"/>
      <c r="S86" s="422" t="n"/>
      <c r="T86" s="423" t="n"/>
      <c r="U86" s="163" t="n"/>
      <c r="V86" s="422" t="n"/>
      <c r="W86" s="422" t="n"/>
      <c r="X86" s="422" t="n"/>
      <c r="Y86" s="422" t="n"/>
      <c r="Z86" s="422" t="n"/>
      <c r="AA86" s="422" t="n"/>
      <c r="AB86" s="422" t="n"/>
      <c r="AC86" s="422" t="n"/>
      <c r="AD86" s="422" t="n"/>
      <c r="AE86" s="423" t="n"/>
      <c r="AF86" s="1" t="n"/>
      <c r="AG86" s="37" t="n"/>
      <c r="AH86" s="59" t="n"/>
      <c r="AI86" s="59" t="n"/>
      <c r="AJ86" s="59" t="n"/>
      <c r="AK86" s="59" t="n"/>
      <c r="AL86" s="59" t="n"/>
      <c r="AM86" s="59" t="n"/>
      <c r="AN86" s="59" t="n"/>
      <c r="AO86" s="59" t="n"/>
      <c r="AP86" s="59" t="n"/>
      <c r="AQ86" s="59" t="n"/>
      <c r="AR86" s="59" t="n"/>
      <c r="AS86" s="59" t="n"/>
      <c r="AT86" s="59" t="n"/>
      <c r="AU86" s="59" t="n"/>
      <c r="AV86" s="59" t="n"/>
      <c r="AW86" s="59" t="n"/>
      <c r="AX86" s="59" t="n"/>
      <c r="AY86" s="59" t="n"/>
      <c r="AZ86" s="59" t="n"/>
      <c r="BA86" s="59" t="n"/>
      <c r="BB86" s="59" t="n"/>
      <c r="BC86" s="59" t="n"/>
      <c r="BD86" s="59" t="n"/>
      <c r="BE86" s="59" t="n"/>
      <c r="BF86" s="59" t="n"/>
      <c r="BG86" s="59" t="n"/>
      <c r="BH86" s="59" t="n"/>
      <c r="BI86" s="59" t="n"/>
      <c r="BJ86" s="59" t="n"/>
      <c r="BK86" s="59" t="n"/>
      <c r="BL86" s="59" t="n"/>
      <c r="BM86" s="59" t="n"/>
      <c r="BN86" s="59" t="n"/>
      <c r="BO86" s="59" t="n"/>
      <c r="BP86" s="59" t="n"/>
      <c r="BQ86" s="59" t="n"/>
      <c r="BR86" s="59" t="n"/>
      <c r="BS86" s="59" t="n"/>
      <c r="BT86" s="59" t="n"/>
      <c r="BU86" s="59" t="n"/>
    </row>
    <row r="87" ht="20.1" customHeight="1">
      <c r="B87" s="62" t="n"/>
      <c r="C87" s="156" t="inlineStr">
        <is>
          <t>Corrente Nominal</t>
        </is>
      </c>
      <c r="D87" s="419" t="n"/>
      <c r="E87" s="419" t="n"/>
      <c r="F87" s="419" t="n"/>
      <c r="G87" s="419" t="n"/>
      <c r="H87" s="148" t="n"/>
      <c r="I87" s="422" t="n"/>
      <c r="J87" s="422" t="n"/>
      <c r="K87" s="422" t="n"/>
      <c r="L87" s="422" t="n"/>
      <c r="M87" s="422" t="n"/>
      <c r="N87" s="423" t="n"/>
      <c r="O87" s="164" t="inlineStr">
        <is>
          <t>A</t>
        </is>
      </c>
      <c r="P87" s="420" t="n"/>
      <c r="Q87" s="449" t="n"/>
      <c r="R87" s="422" t="n"/>
      <c r="S87" s="422" t="n"/>
      <c r="T87" s="423" t="n"/>
      <c r="U87" s="163" t="n"/>
      <c r="V87" s="422" t="n"/>
      <c r="W87" s="422" t="n"/>
      <c r="X87" s="422" t="n"/>
      <c r="Y87" s="422" t="n"/>
      <c r="Z87" s="422" t="n"/>
      <c r="AA87" s="422" t="n"/>
      <c r="AB87" s="422" t="n"/>
      <c r="AC87" s="422" t="n"/>
      <c r="AD87" s="422" t="n"/>
      <c r="AE87" s="423" t="n"/>
      <c r="AF87" s="1" t="n"/>
      <c r="AG87" s="37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59" t="n"/>
      <c r="AQ87" s="59" t="n"/>
      <c r="AR87" s="59" t="n"/>
      <c r="AS87" s="59" t="n"/>
      <c r="AT87" s="59" t="n"/>
      <c r="AU87" s="59" t="n"/>
      <c r="AV87" s="59" t="n"/>
      <c r="AW87" s="59" t="n"/>
      <c r="AX87" s="59" t="n"/>
      <c r="AY87" s="59" t="n"/>
      <c r="AZ87" s="59" t="n"/>
      <c r="BA87" s="59" t="n"/>
      <c r="BB87" s="59" t="n"/>
      <c r="BC87" s="59" t="n"/>
      <c r="BD87" s="59" t="n"/>
      <c r="BE87" s="59" t="n"/>
      <c r="BF87" s="59" t="n"/>
      <c r="BG87" s="59" t="n"/>
      <c r="BH87" s="59" t="n"/>
      <c r="BI87" s="59" t="n"/>
      <c r="BJ87" s="59" t="n"/>
      <c r="BK87" s="59" t="n"/>
      <c r="BL87" s="59" t="n"/>
      <c r="BM87" s="59" t="n"/>
      <c r="BN87" s="59" t="n"/>
      <c r="BO87" s="59" t="n"/>
      <c r="BP87" s="59" t="n"/>
      <c r="BQ87" s="59" t="n"/>
      <c r="BR87" s="59" t="n"/>
      <c r="BS87" s="59" t="n"/>
      <c r="BT87" s="59" t="n"/>
      <c r="BU87" s="59" t="n"/>
    </row>
    <row r="88" ht="20.1" customHeight="1">
      <c r="B88" s="62" t="n"/>
      <c r="C88" s="156" t="inlineStr">
        <is>
          <t>Tensão Nominal</t>
        </is>
      </c>
      <c r="D88" s="419" t="n"/>
      <c r="E88" s="419" t="n"/>
      <c r="F88" s="419" t="n"/>
      <c r="G88" s="419" t="n"/>
      <c r="H88" s="148" t="n"/>
      <c r="I88" s="422" t="n"/>
      <c r="J88" s="422" t="n"/>
      <c r="K88" s="422" t="n"/>
      <c r="L88" s="422" t="n"/>
      <c r="M88" s="422" t="n"/>
      <c r="N88" s="423" t="n"/>
      <c r="O88" s="164" t="inlineStr">
        <is>
          <t>kV</t>
        </is>
      </c>
      <c r="P88" s="420" t="n"/>
      <c r="Q88" s="449" t="n"/>
      <c r="R88" s="422" t="n"/>
      <c r="S88" s="422" t="n"/>
      <c r="T88" s="423" t="n"/>
      <c r="U88" s="163" t="n"/>
      <c r="V88" s="422" t="n"/>
      <c r="W88" s="422" t="n"/>
      <c r="X88" s="422" t="n"/>
      <c r="Y88" s="422" t="n"/>
      <c r="Z88" s="422" t="n"/>
      <c r="AA88" s="422" t="n"/>
      <c r="AB88" s="422" t="n"/>
      <c r="AC88" s="422" t="n"/>
      <c r="AD88" s="422" t="n"/>
      <c r="AE88" s="423" t="n"/>
      <c r="AF88" s="1" t="n"/>
      <c r="AG88" s="37" t="n"/>
      <c r="AH88" s="59" t="n"/>
      <c r="AI88" s="59" t="n"/>
      <c r="AJ88" s="59" t="n"/>
      <c r="AK88" s="59" t="n"/>
      <c r="AL88" s="59" t="n"/>
      <c r="AM88" s="59" t="n"/>
      <c r="AN88" s="59" t="n"/>
      <c r="AO88" s="59" t="n"/>
      <c r="AP88" s="59" t="n"/>
      <c r="AQ88" s="59" t="n"/>
      <c r="AR88" s="59" t="n"/>
      <c r="AS88" s="59" t="n"/>
      <c r="AT88" s="59" t="n"/>
      <c r="AU88" s="59" t="n"/>
      <c r="AV88" s="59" t="n"/>
      <c r="AW88" s="59" t="n"/>
      <c r="AX88" s="59" t="n"/>
      <c r="AY88" s="59" t="n"/>
      <c r="AZ88" s="59" t="n"/>
      <c r="BA88" s="59" t="n"/>
      <c r="BB88" s="59" t="n"/>
      <c r="BC88" s="59" t="n"/>
      <c r="BD88" s="59" t="n"/>
      <c r="BE88" s="59" t="n"/>
      <c r="BF88" s="59" t="n"/>
      <c r="BG88" s="59" t="n"/>
      <c r="BH88" s="59" t="n"/>
      <c r="BI88" s="59" t="n"/>
      <c r="BJ88" s="59" t="n"/>
      <c r="BK88" s="59" t="n"/>
      <c r="BL88" s="59" t="n"/>
      <c r="BM88" s="59" t="n"/>
      <c r="BN88" s="59" t="n"/>
      <c r="BO88" s="59" t="n"/>
      <c r="BP88" s="59" t="n"/>
      <c r="BQ88" s="59" t="n"/>
      <c r="BR88" s="59" t="n"/>
      <c r="BS88" s="59" t="n"/>
      <c r="BT88" s="59" t="n"/>
      <c r="BU88" s="59" t="n"/>
    </row>
    <row r="89" ht="20.1" customHeight="1">
      <c r="B89" s="62" t="n"/>
      <c r="C89" s="156" t="inlineStr">
        <is>
          <t>Frequência Nominal</t>
        </is>
      </c>
      <c r="D89" s="419" t="n"/>
      <c r="E89" s="419" t="n"/>
      <c r="F89" s="419" t="n"/>
      <c r="G89" s="419" t="n"/>
      <c r="H89" s="148" t="n"/>
      <c r="I89" s="422" t="n"/>
      <c r="J89" s="422" t="n"/>
      <c r="K89" s="422" t="n"/>
      <c r="L89" s="422" t="n"/>
      <c r="M89" s="422" t="n"/>
      <c r="N89" s="423" t="n"/>
      <c r="O89" s="164" t="inlineStr">
        <is>
          <t>Hz</t>
        </is>
      </c>
      <c r="P89" s="420" t="n"/>
      <c r="Q89" s="449" t="n"/>
      <c r="R89" s="422" t="n"/>
      <c r="S89" s="422" t="n"/>
      <c r="T89" s="423" t="n"/>
      <c r="U89" s="163" t="n"/>
      <c r="V89" s="422" t="n"/>
      <c r="W89" s="422" t="n"/>
      <c r="X89" s="422" t="n"/>
      <c r="Y89" s="422" t="n"/>
      <c r="Z89" s="422" t="n"/>
      <c r="AA89" s="422" t="n"/>
      <c r="AB89" s="422" t="n"/>
      <c r="AC89" s="422" t="n"/>
      <c r="AD89" s="422" t="n"/>
      <c r="AE89" s="423" t="n"/>
      <c r="AF89" s="1" t="n"/>
      <c r="AG89" s="37" t="n"/>
      <c r="AH89" s="59" t="n"/>
      <c r="AI89" s="59" t="n"/>
      <c r="AJ89" s="59" t="n"/>
      <c r="AK89" s="59" t="n"/>
      <c r="AL89" s="59" t="n"/>
      <c r="AM89" s="59" t="n"/>
      <c r="AN89" s="59" t="n"/>
      <c r="AO89" s="59" t="n"/>
      <c r="AP89" s="59" t="n"/>
      <c r="AQ89" s="59" t="n"/>
      <c r="AR89" s="59" t="n"/>
      <c r="AS89" s="59" t="n"/>
      <c r="AT89" s="59" t="n"/>
      <c r="AU89" s="59" t="n"/>
      <c r="AV89" s="59" t="n"/>
      <c r="AW89" s="59" t="n"/>
      <c r="AX89" s="59" t="n"/>
      <c r="AY89" s="59" t="n"/>
      <c r="AZ89" s="59" t="n"/>
      <c r="BA89" s="59" t="n"/>
      <c r="BB89" s="59" t="n"/>
      <c r="BC89" s="59" t="n"/>
      <c r="BD89" s="59" t="n"/>
      <c r="BE89" s="59" t="n"/>
      <c r="BF89" s="59" t="n"/>
      <c r="BG89" s="59" t="n"/>
      <c r="BH89" s="59" t="n"/>
      <c r="BI89" s="59" t="n"/>
      <c r="BJ89" s="59" t="n"/>
      <c r="BK89" s="59" t="n"/>
      <c r="BL89" s="59" t="n"/>
      <c r="BM89" s="59" t="n"/>
      <c r="BN89" s="59" t="n"/>
      <c r="BO89" s="59" t="n"/>
      <c r="BP89" s="59" t="n"/>
      <c r="BQ89" s="59" t="n"/>
      <c r="BR89" s="59" t="n"/>
      <c r="BS89" s="59" t="n"/>
      <c r="BT89" s="59" t="n"/>
      <c r="BU89" s="59" t="n"/>
    </row>
    <row r="90" ht="20.1" customHeight="1">
      <c r="B90" s="62" t="n"/>
      <c r="C90" s="156" t="inlineStr">
        <is>
          <t>Velocidade Nominal</t>
        </is>
      </c>
      <c r="D90" s="419" t="n"/>
      <c r="E90" s="419" t="n"/>
      <c r="F90" s="419" t="n"/>
      <c r="G90" s="419" t="n"/>
      <c r="H90" s="148" t="n"/>
      <c r="I90" s="422" t="n"/>
      <c r="J90" s="422" t="n"/>
      <c r="K90" s="422" t="n"/>
      <c r="L90" s="422" t="n"/>
      <c r="M90" s="422" t="n"/>
      <c r="N90" s="423" t="n"/>
      <c r="O90" s="164" t="inlineStr">
        <is>
          <t>rpm</t>
        </is>
      </c>
      <c r="P90" s="420" t="n"/>
      <c r="Q90" s="449" t="n"/>
      <c r="R90" s="422" t="n"/>
      <c r="S90" s="422" t="n"/>
      <c r="T90" s="423" t="n"/>
      <c r="U90" s="163" t="n"/>
      <c r="V90" s="422" t="n"/>
      <c r="W90" s="422" t="n"/>
      <c r="X90" s="422" t="n"/>
      <c r="Y90" s="422" t="n"/>
      <c r="Z90" s="422" t="n"/>
      <c r="AA90" s="422" t="n"/>
      <c r="AB90" s="422" t="n"/>
      <c r="AC90" s="422" t="n"/>
      <c r="AD90" s="422" t="n"/>
      <c r="AE90" s="423" t="n"/>
      <c r="AF90" s="1" t="n"/>
      <c r="AG90" s="37" t="n"/>
      <c r="AH90" s="59" t="n"/>
      <c r="AI90" s="59" t="n"/>
      <c r="AJ90" s="59" t="n"/>
      <c r="AK90" s="59" t="n"/>
      <c r="AL90" s="59" t="n"/>
      <c r="AM90" s="59" t="n"/>
      <c r="AN90" s="59" t="n"/>
      <c r="AO90" s="59" t="n"/>
      <c r="AP90" s="59" t="n"/>
      <c r="AQ90" s="59" t="n"/>
      <c r="AR90" s="59" t="n"/>
      <c r="AS90" s="59" t="n"/>
      <c r="AT90" s="59" t="n"/>
      <c r="AU90" s="59" t="n"/>
      <c r="AV90" s="59" t="n"/>
      <c r="AW90" s="59" t="n"/>
      <c r="AX90" s="59" t="n"/>
      <c r="AY90" s="59" t="n"/>
      <c r="AZ90" s="59" t="n"/>
      <c r="BA90" s="59" t="n"/>
      <c r="BB90" s="59" t="n"/>
      <c r="BC90" s="59" t="n"/>
      <c r="BD90" s="59" t="n"/>
      <c r="BE90" s="59" t="n"/>
      <c r="BF90" s="59" t="n"/>
      <c r="BG90" s="59" t="n"/>
      <c r="BH90" s="59" t="n"/>
      <c r="BI90" s="59" t="n"/>
      <c r="BJ90" s="59" t="n"/>
      <c r="BK90" s="59" t="n"/>
      <c r="BL90" s="59" t="n"/>
      <c r="BM90" s="59" t="n"/>
      <c r="BN90" s="59" t="n"/>
      <c r="BO90" s="59" t="n"/>
      <c r="BP90" s="59" t="n"/>
      <c r="BQ90" s="59" t="n"/>
      <c r="BR90" s="59" t="n"/>
      <c r="BS90" s="59" t="n"/>
      <c r="BT90" s="59" t="n"/>
      <c r="BU90" s="59" t="n"/>
    </row>
    <row r="91" ht="20.1" customHeight="1">
      <c r="B91" s="62" t="n"/>
      <c r="C91" s="156" t="inlineStr">
        <is>
          <t>Número de fases</t>
        </is>
      </c>
      <c r="D91" s="419" t="n"/>
      <c r="E91" s="419" t="n"/>
      <c r="F91" s="419" t="n"/>
      <c r="G91" s="419" t="n"/>
      <c r="H91" s="148" t="n"/>
      <c r="I91" s="422" t="n"/>
      <c r="J91" s="422" t="n"/>
      <c r="K91" s="422" t="n"/>
      <c r="L91" s="422" t="n"/>
      <c r="M91" s="422" t="n"/>
      <c r="N91" s="423" t="n"/>
      <c r="O91" s="159" t="n"/>
      <c r="P91" s="420" t="n"/>
      <c r="Q91" s="449" t="n"/>
      <c r="R91" s="422" t="n"/>
      <c r="S91" s="422" t="n"/>
      <c r="T91" s="423" t="n"/>
      <c r="U91" s="163" t="n"/>
      <c r="V91" s="422" t="n"/>
      <c r="W91" s="422" t="n"/>
      <c r="X91" s="422" t="n"/>
      <c r="Y91" s="422" t="n"/>
      <c r="Z91" s="422" t="n"/>
      <c r="AA91" s="422" t="n"/>
      <c r="AB91" s="422" t="n"/>
      <c r="AC91" s="422" t="n"/>
      <c r="AD91" s="422" t="n"/>
      <c r="AE91" s="423" t="n"/>
      <c r="AF91" s="1" t="n"/>
      <c r="AG91" s="37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59" t="n"/>
      <c r="AQ91" s="59" t="n"/>
      <c r="AR91" s="59" t="n"/>
      <c r="AS91" s="59" t="n"/>
      <c r="AT91" s="59" t="n"/>
      <c r="AU91" s="59" t="n"/>
      <c r="AV91" s="59" t="n"/>
      <c r="AW91" s="59" t="n"/>
      <c r="AX91" s="59" t="n"/>
      <c r="AY91" s="59" t="n"/>
      <c r="AZ91" s="59" t="n"/>
      <c r="BA91" s="59" t="n"/>
      <c r="BB91" s="59" t="n"/>
      <c r="BC91" s="59" t="n"/>
      <c r="BD91" s="59" t="n"/>
      <c r="BE91" s="59" t="n"/>
      <c r="BF91" s="59" t="n"/>
      <c r="BG91" s="59" t="n"/>
      <c r="BH91" s="59" t="n"/>
      <c r="BI91" s="59" t="n"/>
      <c r="BJ91" s="59" t="n"/>
      <c r="BK91" s="59" t="n"/>
      <c r="BL91" s="59" t="n"/>
      <c r="BM91" s="59" t="n"/>
      <c r="BN91" s="59" t="n"/>
      <c r="BO91" s="59" t="n"/>
      <c r="BP91" s="59" t="n"/>
      <c r="BQ91" s="59" t="n"/>
      <c r="BR91" s="59" t="n"/>
      <c r="BS91" s="59" t="n"/>
      <c r="BT91" s="59" t="n"/>
      <c r="BU91" s="59" t="n"/>
    </row>
    <row r="92" ht="20.1" customHeight="1">
      <c r="B92" s="62" t="n"/>
      <c r="C92" s="156" t="inlineStr">
        <is>
          <t>Tipo e Ligação (2)</t>
        </is>
      </c>
      <c r="D92" s="419" t="n"/>
      <c r="E92" s="419" t="n"/>
      <c r="F92" s="419" t="n"/>
      <c r="G92" s="419" t="n"/>
      <c r="H92" s="148" t="n"/>
      <c r="I92" s="422" t="n"/>
      <c r="J92" s="422" t="n"/>
      <c r="K92" s="422" t="n"/>
      <c r="L92" s="422" t="n"/>
      <c r="M92" s="422" t="n"/>
      <c r="N92" s="423" t="n"/>
      <c r="O92" s="159" t="n"/>
      <c r="P92" s="420" t="n"/>
      <c r="Q92" s="449" t="n"/>
      <c r="R92" s="422" t="n"/>
      <c r="S92" s="422" t="n"/>
      <c r="T92" s="423" t="n"/>
      <c r="U92" s="163" t="n"/>
      <c r="V92" s="422" t="n"/>
      <c r="W92" s="422" t="n"/>
      <c r="X92" s="422" t="n"/>
      <c r="Y92" s="422" t="n"/>
      <c r="Z92" s="422" t="n"/>
      <c r="AA92" s="422" t="n"/>
      <c r="AB92" s="422" t="n"/>
      <c r="AC92" s="422" t="n"/>
      <c r="AD92" s="422" t="n"/>
      <c r="AE92" s="423" t="n"/>
      <c r="AF92" s="1" t="n"/>
      <c r="AG92" s="37" t="n"/>
      <c r="AH92" s="59" t="n"/>
      <c r="AI92" s="59" t="n"/>
      <c r="AJ92" s="59" t="n"/>
      <c r="AK92" s="59" t="n"/>
      <c r="AL92" s="59" t="n"/>
      <c r="AM92" s="59" t="n"/>
      <c r="AN92" s="59" t="n"/>
      <c r="AO92" s="59" t="n"/>
      <c r="AP92" s="59" t="n"/>
      <c r="AQ92" s="59" t="n"/>
      <c r="AR92" s="59" t="n"/>
      <c r="AS92" s="59" t="n"/>
      <c r="AT92" s="59" t="n"/>
      <c r="AU92" s="59" t="n"/>
      <c r="AV92" s="59" t="n"/>
      <c r="AW92" s="59" t="n"/>
      <c r="AX92" s="59" t="n"/>
      <c r="AY92" s="59" t="n"/>
      <c r="AZ92" s="59" t="n"/>
      <c r="BA92" s="59" t="n"/>
      <c r="BB92" s="59" t="n"/>
      <c r="BC92" s="59" t="n"/>
      <c r="BD92" s="59" t="n"/>
      <c r="BE92" s="59" t="n"/>
      <c r="BF92" s="59" t="n"/>
      <c r="BG92" s="59" t="n"/>
      <c r="BH92" s="59" t="n"/>
      <c r="BI92" s="59" t="n"/>
      <c r="BJ92" s="59" t="n"/>
      <c r="BK92" s="59" t="n"/>
      <c r="BL92" s="59" t="n"/>
      <c r="BM92" s="59" t="n"/>
      <c r="BN92" s="59" t="n"/>
      <c r="BO92" s="59" t="n"/>
      <c r="BP92" s="59" t="n"/>
      <c r="BQ92" s="59" t="n"/>
      <c r="BR92" s="59" t="n"/>
      <c r="BS92" s="59" t="n"/>
      <c r="BT92" s="59" t="n"/>
      <c r="BU92" s="59" t="n"/>
    </row>
    <row r="93" ht="20.1" customHeight="1">
      <c r="B93" s="62" t="n"/>
      <c r="C93" s="156" t="inlineStr">
        <is>
          <t>Número de pólos</t>
        </is>
      </c>
      <c r="D93" s="419" t="n"/>
      <c r="E93" s="419" t="n"/>
      <c r="F93" s="419" t="n"/>
      <c r="G93" s="419" t="n"/>
      <c r="H93" s="148" t="n"/>
      <c r="I93" s="422" t="n"/>
      <c r="J93" s="422" t="n"/>
      <c r="K93" s="422" t="n"/>
      <c r="L93" s="422" t="n"/>
      <c r="M93" s="422" t="n"/>
      <c r="N93" s="423" t="n"/>
      <c r="O93" s="159" t="n"/>
      <c r="P93" s="420" t="n"/>
      <c r="Q93" s="449" t="n"/>
      <c r="R93" s="422" t="n"/>
      <c r="S93" s="422" t="n"/>
      <c r="T93" s="423" t="n"/>
      <c r="U93" s="163" t="n"/>
      <c r="V93" s="422" t="n"/>
      <c r="W93" s="422" t="n"/>
      <c r="X93" s="422" t="n"/>
      <c r="Y93" s="422" t="n"/>
      <c r="Z93" s="422" t="n"/>
      <c r="AA93" s="422" t="n"/>
      <c r="AB93" s="422" t="n"/>
      <c r="AC93" s="422" t="n"/>
      <c r="AD93" s="422" t="n"/>
      <c r="AE93" s="423" t="n"/>
      <c r="AF93" s="1" t="n"/>
      <c r="AG93" s="37" t="n"/>
      <c r="AH93" s="59" t="n"/>
      <c r="AI93" s="59" t="n"/>
      <c r="AJ93" s="59" t="n"/>
      <c r="AK93" s="59" t="n"/>
      <c r="AL93" s="59" t="n"/>
      <c r="AM93" s="59" t="n"/>
      <c r="AN93" s="59" t="n"/>
      <c r="AO93" s="59" t="n"/>
      <c r="AP93" s="59" t="n"/>
      <c r="AQ93" s="59" t="n"/>
      <c r="AR93" s="59" t="n"/>
      <c r="AS93" s="59" t="n"/>
      <c r="AT93" s="59" t="n"/>
      <c r="AU93" s="59" t="n"/>
      <c r="AV93" s="59" t="n"/>
      <c r="AW93" s="59" t="n"/>
      <c r="AX93" s="59" t="n"/>
      <c r="AY93" s="59" t="n"/>
      <c r="AZ93" s="59" t="n"/>
      <c r="BA93" s="59" t="n"/>
      <c r="BB93" s="59" t="n"/>
      <c r="BC93" s="59" t="n"/>
      <c r="BD93" s="59" t="n"/>
      <c r="BE93" s="59" t="n"/>
      <c r="BF93" s="59" t="n"/>
      <c r="BG93" s="59" t="n"/>
      <c r="BH93" s="59" t="n"/>
      <c r="BI93" s="59" t="n"/>
      <c r="BJ93" s="59" t="n"/>
      <c r="BK93" s="59" t="n"/>
      <c r="BL93" s="59" t="n"/>
      <c r="BM93" s="59" t="n"/>
      <c r="BN93" s="59" t="n"/>
      <c r="BO93" s="59" t="n"/>
      <c r="BP93" s="59" t="n"/>
      <c r="BQ93" s="59" t="n"/>
      <c r="BR93" s="59" t="n"/>
      <c r="BS93" s="59" t="n"/>
      <c r="BT93" s="59" t="n"/>
      <c r="BU93" s="59" t="n"/>
    </row>
    <row r="94" ht="20.1" customHeight="1">
      <c r="B94" s="62" t="n"/>
      <c r="C94" s="156" t="inlineStr">
        <is>
          <t>Fator de Potência Máximo* (3)</t>
        </is>
      </c>
      <c r="D94" s="419" t="n"/>
      <c r="E94" s="419" t="n"/>
      <c r="F94" s="419" t="n"/>
      <c r="G94" s="419" t="n"/>
      <c r="H94" s="450" t="n"/>
      <c r="I94" s="422" t="n"/>
      <c r="J94" s="422" t="n"/>
      <c r="K94" s="422" t="n"/>
      <c r="L94" s="422" t="n"/>
      <c r="M94" s="422" t="n"/>
      <c r="N94" s="423" t="n"/>
      <c r="O94" s="159" t="n"/>
      <c r="P94" s="420" t="n"/>
      <c r="Q94" s="449" t="n"/>
      <c r="R94" s="422" t="n"/>
      <c r="S94" s="422" t="n"/>
      <c r="T94" s="423" t="n"/>
      <c r="U94" s="163" t="n"/>
      <c r="V94" s="422" t="n"/>
      <c r="W94" s="422" t="n"/>
      <c r="X94" s="422" t="n"/>
      <c r="Y94" s="422" t="n"/>
      <c r="Z94" s="422" t="n"/>
      <c r="AA94" s="422" t="n"/>
      <c r="AB94" s="422" t="n"/>
      <c r="AC94" s="422" t="n"/>
      <c r="AD94" s="422" t="n"/>
      <c r="AE94" s="423" t="n"/>
      <c r="AF94" s="1" t="n"/>
      <c r="AG94" s="37" t="n"/>
      <c r="AH94" s="59" t="n"/>
      <c r="AI94" s="59" t="n"/>
      <c r="AJ94" s="59" t="n"/>
      <c r="AK94" s="59" t="n"/>
      <c r="AL94" s="59" t="n"/>
      <c r="AM94" s="59" t="n"/>
      <c r="AN94" s="59" t="n"/>
      <c r="AO94" s="59" t="n"/>
      <c r="AP94" s="59" t="n"/>
      <c r="AQ94" s="59" t="n"/>
      <c r="AR94" s="59" t="n"/>
      <c r="AS94" s="59" t="n"/>
      <c r="AT94" s="59" t="n"/>
      <c r="AU94" s="59" t="n"/>
      <c r="AV94" s="59" t="n"/>
      <c r="AW94" s="59" t="n"/>
      <c r="AX94" s="59" t="n"/>
      <c r="AY94" s="59" t="n"/>
      <c r="AZ94" s="59" t="n"/>
      <c r="BA94" s="59" t="n"/>
      <c r="BB94" s="59" t="n"/>
      <c r="BC94" s="59" t="n"/>
      <c r="BD94" s="59" t="n"/>
      <c r="BE94" s="59" t="n"/>
      <c r="BF94" s="59" t="n"/>
      <c r="BG94" s="59" t="n"/>
      <c r="BH94" s="59" t="n"/>
      <c r="BI94" s="59" t="n"/>
      <c r="BJ94" s="59" t="n"/>
      <c r="BK94" s="59" t="n"/>
      <c r="BL94" s="59" t="n"/>
      <c r="BM94" s="59" t="n"/>
      <c r="BN94" s="59" t="n"/>
      <c r="BO94" s="59" t="n"/>
      <c r="BP94" s="59" t="n"/>
      <c r="BQ94" s="59" t="n"/>
      <c r="BR94" s="59" t="n"/>
      <c r="BS94" s="59" t="n"/>
      <c r="BT94" s="59" t="n"/>
      <c r="BU94" s="59" t="n"/>
    </row>
    <row r="95" ht="20.1" customHeight="1">
      <c r="B95" s="62" t="n"/>
      <c r="C95" s="39" t="inlineStr">
        <is>
          <t xml:space="preserve"> (1) G/V/O</t>
        </is>
      </c>
      <c r="D95" s="276" t="n"/>
      <c r="E95" s="276" t="n"/>
      <c r="F95" s="276" t="n"/>
      <c r="G95" s="276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1" t="n"/>
      <c r="AG95" s="37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59" t="n"/>
      <c r="AQ95" s="59" t="n"/>
      <c r="AR95" s="59" t="n"/>
      <c r="AS95" s="59" t="n"/>
      <c r="AT95" s="59" t="n"/>
      <c r="AU95" s="59" t="n"/>
      <c r="AV95" s="59" t="n"/>
      <c r="AW95" s="59" t="n"/>
      <c r="AX95" s="59" t="n"/>
      <c r="AY95" s="59" t="n"/>
      <c r="AZ95" s="59" t="n"/>
      <c r="BA95" s="59" t="n"/>
      <c r="BB95" s="59" t="n"/>
      <c r="BC95" s="59" t="n"/>
      <c r="BD95" s="59" t="n"/>
      <c r="BE95" s="59" t="n"/>
      <c r="BF95" s="59" t="n"/>
      <c r="BG95" s="59" t="n"/>
      <c r="BH95" s="59" t="n"/>
      <c r="BI95" s="59" t="n"/>
      <c r="BJ95" s="59" t="n"/>
      <c r="BK95" s="59" t="n"/>
      <c r="BL95" s="59" t="n"/>
      <c r="BM95" s="59" t="n"/>
      <c r="BN95" s="59" t="n"/>
      <c r="BO95" s="59" t="n"/>
      <c r="BP95" s="59" t="n"/>
      <c r="BQ95" s="59" t="n"/>
      <c r="BR95" s="59" t="n"/>
      <c r="BS95" s="59" t="n"/>
      <c r="BT95" s="59" t="n"/>
      <c r="BU95" s="59" t="n"/>
    </row>
    <row r="96" ht="15" customHeight="1">
      <c r="B96" s="62" t="n"/>
      <c r="C96" s="39" t="inlineStr">
        <is>
          <t xml:space="preserve"> (2) Y ou Δ</t>
        </is>
      </c>
      <c r="D96" s="276" t="n"/>
      <c r="E96" s="276" t="n"/>
      <c r="F96" s="276" t="n"/>
      <c r="G96" s="276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1" t="n"/>
      <c r="AG96" s="37" t="n"/>
      <c r="AH96" s="59" t="n"/>
      <c r="AI96" s="59" t="n"/>
      <c r="AJ96" s="59" t="n"/>
      <c r="AK96" s="59" t="n"/>
      <c r="AL96" s="59" t="n"/>
      <c r="AM96" s="59" t="n"/>
      <c r="AN96" s="59" t="n"/>
      <c r="AO96" s="59" t="n"/>
      <c r="AP96" s="59" t="n"/>
      <c r="AQ96" s="59" t="n"/>
      <c r="AR96" s="59" t="n"/>
      <c r="AS96" s="59" t="n"/>
      <c r="AT96" s="59" t="n"/>
      <c r="AU96" s="59" t="n"/>
      <c r="AV96" s="59" t="n"/>
      <c r="AW96" s="59" t="n"/>
      <c r="AX96" s="59" t="n"/>
      <c r="AY96" s="59" t="n"/>
      <c r="AZ96" s="59" t="n"/>
      <c r="BA96" s="59" t="n"/>
      <c r="BB96" s="59" t="n"/>
      <c r="BC96" s="59" t="n"/>
      <c r="BD96" s="59" t="n"/>
      <c r="BE96" s="59" t="n"/>
      <c r="BF96" s="59" t="n"/>
      <c r="BG96" s="59" t="n"/>
      <c r="BH96" s="59" t="n"/>
      <c r="BI96" s="59" t="n"/>
      <c r="BJ96" s="59" t="n"/>
      <c r="BK96" s="59" t="n"/>
      <c r="BL96" s="59" t="n"/>
      <c r="BM96" s="59" t="n"/>
      <c r="BN96" s="59" t="n"/>
      <c r="BO96" s="59" t="n"/>
      <c r="BP96" s="59" t="n"/>
      <c r="BQ96" s="59" t="n"/>
      <c r="BR96" s="59" t="n"/>
      <c r="BS96" s="59" t="n"/>
      <c r="BT96" s="59" t="n"/>
      <c r="BU96" s="59" t="n"/>
    </row>
    <row r="97" ht="15" customHeight="1">
      <c r="B97" s="62" t="n"/>
      <c r="C97" s="50" t="inlineStr">
        <is>
          <t xml:space="preserve"> (3) Sobre-excitado ou Sub-excitado</t>
        </is>
      </c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1" t="n"/>
      <c r="AG97" s="37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59" t="n"/>
      <c r="AQ97" s="59" t="n"/>
      <c r="AR97" s="59" t="n"/>
      <c r="AS97" s="59" t="n"/>
      <c r="AT97" s="59" t="n"/>
      <c r="AU97" s="59" t="n"/>
      <c r="AV97" s="59" t="n"/>
      <c r="AW97" s="59" t="n"/>
      <c r="AX97" s="59" t="n"/>
      <c r="AY97" s="59" t="n"/>
      <c r="AZ97" s="59" t="n"/>
      <c r="BA97" s="59" t="n"/>
      <c r="BB97" s="59" t="n"/>
      <c r="BC97" s="59" t="n"/>
      <c r="BD97" s="59" t="n"/>
      <c r="BE97" s="59" t="n"/>
      <c r="BF97" s="59" t="n"/>
      <c r="BG97" s="59" t="n"/>
      <c r="BH97" s="59" t="n"/>
      <c r="BI97" s="59" t="n"/>
      <c r="BJ97" s="59" t="n"/>
      <c r="BK97" s="59" t="n"/>
      <c r="BL97" s="59" t="n"/>
      <c r="BM97" s="59" t="n"/>
      <c r="BN97" s="59" t="n"/>
      <c r="BO97" s="59" t="n"/>
      <c r="BP97" s="59" t="n"/>
      <c r="BQ97" s="59" t="n"/>
      <c r="BR97" s="59" t="n"/>
      <c r="BS97" s="59" t="n"/>
      <c r="BT97" s="59" t="n"/>
      <c r="BU97" s="59" t="n"/>
    </row>
    <row r="98" ht="9.949999999999999" customHeight="1" thickBot="1">
      <c r="B98" s="6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>
      <c r="B99" s="153" t="n"/>
      <c r="C99" s="451" t="n"/>
      <c r="D99" s="451" t="n"/>
      <c r="E99" s="451" t="n"/>
      <c r="F99" s="451" t="n"/>
      <c r="G99" s="451" t="n"/>
      <c r="H99" s="451" t="n"/>
      <c r="I99" s="451" t="n"/>
      <c r="J99" s="451" t="n"/>
      <c r="K99" s="451" t="n"/>
      <c r="L99" s="451" t="n"/>
      <c r="M99" s="451" t="n"/>
      <c r="N99" s="451" t="n"/>
      <c r="O99" s="451" t="n"/>
      <c r="P99" s="451" t="n"/>
      <c r="Q99" s="451" t="n"/>
      <c r="R99" s="451" t="n"/>
      <c r="S99" s="451" t="n"/>
      <c r="T99" s="451" t="n"/>
      <c r="U99" s="451" t="n"/>
      <c r="V99" s="451" t="n"/>
      <c r="W99" s="451" t="n"/>
      <c r="X99" s="451" t="n"/>
      <c r="Y99" s="451" t="n"/>
      <c r="Z99" s="451" t="n"/>
      <c r="AA99" s="451" t="n"/>
      <c r="AB99" s="451" t="n"/>
      <c r="AC99" s="451" t="n"/>
      <c r="AD99" s="451" t="n"/>
      <c r="AE99" s="451" t="n"/>
      <c r="AF99" s="451" t="n"/>
      <c r="AH99" s="59" t="n"/>
      <c r="AI99" s="59" t="n"/>
      <c r="AJ99" s="59" t="n"/>
      <c r="AK99" s="59" t="n"/>
      <c r="AL99" s="59" t="n"/>
      <c r="AM99" s="59" t="n"/>
      <c r="AN99" s="59" t="n"/>
      <c r="AO99" s="59" t="n"/>
      <c r="AP99" s="59" t="n"/>
      <c r="AQ99" s="59" t="n"/>
      <c r="AR99" s="59" t="n"/>
      <c r="AS99" s="59" t="n"/>
      <c r="AT99" s="59" t="n"/>
      <c r="AU99" s="59" t="n"/>
      <c r="AV99" s="59" t="n"/>
      <c r="AW99" s="59" t="n"/>
      <c r="AX99" s="59" t="n"/>
      <c r="AY99" s="59" t="n"/>
      <c r="AZ99" s="59" t="n"/>
      <c r="BA99" s="59" t="n"/>
      <c r="BB99" s="59" t="n"/>
      <c r="BC99" s="59" t="n"/>
      <c r="BD99" s="59" t="n"/>
      <c r="BE99" s="59" t="n"/>
      <c r="BF99" s="59" t="n"/>
      <c r="BG99" s="59" t="n"/>
      <c r="BH99" s="59" t="n"/>
      <c r="BI99" s="59" t="n"/>
      <c r="BJ99" s="59" t="n"/>
      <c r="BK99" s="59" t="n"/>
      <c r="BL99" s="59" t="n"/>
      <c r="BM99" s="59" t="n"/>
      <c r="BN99" s="59" t="n"/>
      <c r="BO99" s="59" t="n"/>
      <c r="BP99" s="59" t="n"/>
      <c r="BQ99" s="59" t="n"/>
      <c r="BR99" s="59" t="n"/>
      <c r="BS99" s="59" t="n"/>
      <c r="BT99" s="59" t="n"/>
      <c r="BU99" s="59" t="n"/>
    </row>
    <row r="100"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H100" s="59" t="n"/>
      <c r="AI100" s="59" t="n"/>
      <c r="AJ100" s="59" t="n"/>
      <c r="AK100" s="59" t="n"/>
      <c r="AL100" s="59" t="n"/>
      <c r="AM100" s="59" t="n"/>
      <c r="AN100" s="59" t="n"/>
      <c r="AO100" s="59" t="n"/>
      <c r="AP100" s="59" t="n"/>
      <c r="AQ100" s="59" t="n"/>
      <c r="AR100" s="59" t="n"/>
      <c r="AS100" s="59" t="n"/>
      <c r="AT100" s="59" t="n"/>
      <c r="AU100" s="59" t="n"/>
      <c r="AV100" s="59" t="n"/>
      <c r="AW100" s="59" t="n"/>
      <c r="AX100" s="59" t="n"/>
      <c r="AY100" s="59" t="n"/>
      <c r="AZ100" s="59" t="n"/>
      <c r="BA100" s="59" t="n"/>
      <c r="BB100" s="59" t="n"/>
      <c r="BC100" s="59" t="n"/>
      <c r="BD100" s="59" t="n"/>
      <c r="BE100" s="59" t="n"/>
      <c r="BF100" s="59" t="n"/>
      <c r="BG100" s="59" t="n"/>
      <c r="BH100" s="59" t="n"/>
      <c r="BI100" s="59" t="n"/>
      <c r="BJ100" s="59" t="n"/>
      <c r="BK100" s="59" t="n"/>
      <c r="BL100" s="59" t="n"/>
      <c r="BM100" s="59" t="n"/>
      <c r="BN100" s="59" t="n"/>
      <c r="BO100" s="59" t="n"/>
      <c r="BP100" s="59" t="n"/>
      <c r="BQ100" s="59" t="n"/>
      <c r="BR100" s="59" t="n"/>
      <c r="BS100" s="59" t="n"/>
      <c r="BT100" s="59" t="n"/>
      <c r="BU100" s="59" t="n"/>
    </row>
    <row r="101"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59" t="n"/>
      <c r="AQ101" s="59" t="n"/>
      <c r="AR101" s="59" t="n"/>
      <c r="AS101" s="59" t="n"/>
      <c r="AT101" s="59" t="n"/>
      <c r="AU101" s="59" t="n"/>
      <c r="AV101" s="59" t="n"/>
      <c r="AW101" s="59" t="n"/>
      <c r="AX101" s="59" t="n"/>
      <c r="AY101" s="59" t="n"/>
      <c r="AZ101" s="59" t="n"/>
      <c r="BA101" s="59" t="n"/>
      <c r="BB101" s="59" t="n"/>
      <c r="BC101" s="59" t="n"/>
      <c r="BD101" s="59" t="n"/>
      <c r="BE101" s="59" t="n"/>
      <c r="BF101" s="59" t="n"/>
      <c r="BG101" s="59" t="n"/>
      <c r="BH101" s="59" t="n"/>
      <c r="BI101" s="59" t="n"/>
      <c r="BJ101" s="59" t="n"/>
      <c r="BK101" s="59" t="n"/>
      <c r="BL101" s="59" t="n"/>
      <c r="BM101" s="59" t="n"/>
      <c r="BN101" s="59" t="n"/>
      <c r="BO101" s="59" t="n"/>
      <c r="BP101" s="59" t="n"/>
      <c r="BQ101" s="59" t="n"/>
      <c r="BR101" s="59" t="n"/>
      <c r="BS101" s="59" t="n"/>
      <c r="BT101" s="59" t="n"/>
      <c r="BU101" s="59" t="n"/>
    </row>
    <row r="102"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  <c r="AQ102" s="59" t="n"/>
      <c r="AR102" s="59" t="n"/>
      <c r="AS102" s="59" t="n"/>
      <c r="AT102" s="59" t="n"/>
      <c r="AU102" s="59" t="n"/>
      <c r="AV102" s="59" t="n"/>
      <c r="AW102" s="59" t="n"/>
      <c r="AX102" s="59" t="n"/>
      <c r="AY102" s="59" t="n"/>
      <c r="AZ102" s="59" t="n"/>
      <c r="BA102" s="59" t="n"/>
      <c r="BB102" s="59" t="n"/>
      <c r="BC102" s="59" t="n"/>
      <c r="BD102" s="59" t="n"/>
      <c r="BE102" s="59" t="n"/>
      <c r="BF102" s="59" t="n"/>
      <c r="BG102" s="59" t="n"/>
      <c r="BH102" s="59" t="n"/>
      <c r="BI102" s="59" t="n"/>
      <c r="BJ102" s="59" t="n"/>
      <c r="BK102" s="59" t="n"/>
      <c r="BL102" s="59" t="n"/>
      <c r="BM102" s="59" t="n"/>
      <c r="BN102" s="59" t="n"/>
      <c r="BO102" s="59" t="n"/>
      <c r="BP102" s="59" t="n"/>
      <c r="BQ102" s="59" t="n"/>
      <c r="BR102" s="59" t="n"/>
      <c r="BS102" s="59" t="n"/>
      <c r="BT102" s="59" t="n"/>
      <c r="BU102" s="59" t="n"/>
    </row>
    <row r="103"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 ht="15.6" customHeight="1">
      <c r="B108" s="66" t="n"/>
      <c r="C108" s="66" t="n"/>
      <c r="D108" s="65" t="n"/>
      <c r="E108" s="7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66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 ht="15.6" customHeight="1"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2" t="n"/>
      <c r="N109" s="70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154" t="n"/>
      <c r="AB109" s="154" t="n"/>
      <c r="AC109" s="154" t="n"/>
      <c r="AD109" s="154" t="n"/>
      <c r="AE109" s="154" t="n"/>
      <c r="AF109" s="66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6" t="n"/>
      <c r="C110" s="66" t="n"/>
      <c r="D110" s="155" t="n"/>
      <c r="M110" s="2" t="n"/>
      <c r="N110" s="71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66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6" t="n"/>
      <c r="C111" s="66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155" t="n"/>
      <c r="N111" s="71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66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6" t="n"/>
      <c r="C112" s="66" t="n"/>
      <c r="D112" s="71" t="n"/>
      <c r="E112" s="9" t="n"/>
      <c r="F112" s="8" t="n"/>
      <c r="G112" s="8" t="n"/>
      <c r="H112" s="8" t="n"/>
      <c r="I112" s="8" t="n"/>
      <c r="J112" s="9" t="n"/>
      <c r="K112" s="9" t="n"/>
      <c r="L112" s="9" t="n"/>
      <c r="M112" s="2" t="n"/>
      <c r="N112" s="71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66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6" t="n"/>
      <c r="C113" s="66" t="n"/>
      <c r="D113" s="154" t="n"/>
      <c r="E113" s="154" t="n"/>
      <c r="F113" s="9" t="n"/>
      <c r="G113" s="9" t="n"/>
      <c r="H113" s="9" t="n"/>
      <c r="I113" s="9" t="n"/>
      <c r="J113" s="2" t="n"/>
      <c r="K113" s="2" t="n"/>
      <c r="L113" s="2" t="n"/>
      <c r="M113" s="2" t="n"/>
      <c r="N113" s="71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66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>
      <c r="B114" s="66" t="n"/>
      <c r="C114" s="66" t="n"/>
      <c r="D114" s="71" t="n"/>
      <c r="E114" s="452" t="n"/>
      <c r="F114" s="154" t="n"/>
      <c r="G114" s="154" t="n"/>
      <c r="H114" s="154" t="n"/>
      <c r="I114" s="154" t="n"/>
      <c r="J114" s="2" t="n"/>
      <c r="K114" s="2" t="n"/>
      <c r="L114" s="2" t="n"/>
      <c r="M114" s="2" t="n"/>
      <c r="N114" s="71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66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>
      <c r="B115" s="66" t="n"/>
      <c r="C115" s="66" t="n"/>
      <c r="D115" s="2" t="n"/>
      <c r="E115" s="2" t="n"/>
      <c r="F115" s="452" t="n"/>
      <c r="G115" s="452" t="n"/>
      <c r="H115" s="452" t="n"/>
      <c r="I115" s="452" t="n"/>
      <c r="J115" s="2" t="n"/>
      <c r="K115" s="2" t="n"/>
      <c r="L115" s="2" t="n"/>
      <c r="M115" s="2" t="n"/>
      <c r="N115" s="11" t="n"/>
      <c r="O115" s="11" t="n"/>
      <c r="P115" s="11" t="n"/>
      <c r="Q115" s="2" t="n"/>
      <c r="R115" s="66" t="n"/>
      <c r="S115" s="2" t="n"/>
      <c r="T115" s="67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66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>
      <c r="B116" s="66" t="n"/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11" t="n"/>
      <c r="O116" s="11" t="n"/>
      <c r="P116" s="11" t="n"/>
      <c r="Q116" s="452" t="n"/>
      <c r="R116" s="2" t="n"/>
      <c r="S116" s="452" t="n"/>
      <c r="T116" s="67" t="n"/>
      <c r="U116" s="453" t="n"/>
      <c r="V116" s="453" t="n"/>
      <c r="W116" s="453" t="n"/>
      <c r="X116" s="453" t="n"/>
      <c r="Y116" s="453" t="n"/>
      <c r="Z116" s="2" t="n"/>
      <c r="AA116" s="453" t="n"/>
      <c r="AB116" s="453" t="n"/>
      <c r="AC116" s="453" t="n"/>
      <c r="AD116" s="453" t="n"/>
      <c r="AE116" s="453" t="n"/>
      <c r="AF116" s="66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>
      <c r="B117" s="66" t="n"/>
      <c r="C117" s="66" t="n"/>
      <c r="D117" s="42" t="n"/>
      <c r="E117" s="8" t="n"/>
      <c r="F117" s="2" t="n"/>
      <c r="G117" s="2" t="n"/>
      <c r="H117" s="2" t="n"/>
      <c r="I117" s="2" t="n"/>
      <c r="J117" s="8" t="n"/>
      <c r="K117" s="8" t="n"/>
      <c r="L117" s="8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66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2" t="n"/>
      <c r="E118" s="2" t="n"/>
      <c r="F118" s="8" t="n"/>
      <c r="G118" s="8" t="n"/>
      <c r="H118" s="8" t="n"/>
      <c r="I118" s="8" t="n"/>
      <c r="J118" s="2" t="n"/>
      <c r="K118" s="2" t="n"/>
      <c r="L118" s="2" t="n"/>
      <c r="M118" s="2" t="n"/>
      <c r="N118" s="71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8" t="n"/>
      <c r="AB118" s="8" t="n"/>
      <c r="AC118" s="454" t="n"/>
      <c r="AD118" s="454" t="n"/>
      <c r="AE118" s="454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2" t="n"/>
      <c r="E119" s="2" t="n"/>
      <c r="F119" s="8" t="n"/>
      <c r="G119" s="8" t="n"/>
      <c r="H119" s="8" t="n"/>
      <c r="I119" s="8" t="n"/>
      <c r="J119" s="2" t="n"/>
      <c r="K119" s="2" t="n"/>
      <c r="L119" s="2" t="n"/>
      <c r="M119" s="2" t="n"/>
      <c r="N119" s="71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8" t="n"/>
      <c r="AB119" s="8" t="n"/>
      <c r="AC119" s="454" t="n"/>
      <c r="AD119" s="454" t="n"/>
      <c r="AE119" s="454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2" t="n"/>
      <c r="E120" s="2" t="n"/>
      <c r="F120" s="8" t="n"/>
      <c r="G120" s="8" t="n"/>
      <c r="H120" s="8" t="n"/>
      <c r="I120" s="8" t="n"/>
      <c r="J120" s="2" t="n"/>
      <c r="K120" s="2" t="n"/>
      <c r="L120" s="2" t="n"/>
      <c r="M120" s="2" t="n"/>
      <c r="N120" s="71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8" t="n"/>
      <c r="AB120" s="8" t="n"/>
      <c r="AC120" s="454" t="n"/>
      <c r="AD120" s="454" t="n"/>
      <c r="AE120" s="454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7nu0ZzCsryZy7hbwnGowYA==" formatRows="0" sort="1" spinCount="100000" hashValue="eUnrvPubZihAuW3aDMnhA/W+trfXr1UIuyo7orR+bxlfA7s7/s6zcJKtKFR+G8QstXCP00cCaRYf5B7lfr16gA=="/>
  <mergeCells count="574">
    <mergeCell ref="Z43:AB43"/>
    <mergeCell ref="L50:O50"/>
    <mergeCell ref="C83:G83"/>
    <mergeCell ref="W47:Y47"/>
    <mergeCell ref="Q86:T86"/>
    <mergeCell ref="H87:N87"/>
    <mergeCell ref="B99:AF99"/>
    <mergeCell ref="Q78:S78"/>
    <mergeCell ref="J59:K59"/>
    <mergeCell ref="L52:O52"/>
    <mergeCell ref="H17:J17"/>
    <mergeCell ref="H11:J11"/>
    <mergeCell ref="L27:O27"/>
    <mergeCell ref="C73:AE73"/>
    <mergeCell ref="H91:N91"/>
    <mergeCell ref="AB59:AC59"/>
    <mergeCell ref="O88:P88"/>
    <mergeCell ref="T34:V34"/>
    <mergeCell ref="H93:N93"/>
    <mergeCell ref="AB61:AC61"/>
    <mergeCell ref="T28:V28"/>
    <mergeCell ref="P22:S22"/>
    <mergeCell ref="AB75:AE75"/>
    <mergeCell ref="D21:G21"/>
    <mergeCell ref="T78:W78"/>
    <mergeCell ref="Y66:AA66"/>
    <mergeCell ref="T10:Z10"/>
    <mergeCell ref="T30:V30"/>
    <mergeCell ref="L45:O45"/>
    <mergeCell ref="D48:G48"/>
    <mergeCell ref="N56:O57"/>
    <mergeCell ref="Q77:S77"/>
    <mergeCell ref="Y68:AA68"/>
    <mergeCell ref="U83:AE83"/>
    <mergeCell ref="T29:V29"/>
    <mergeCell ref="H62:I62"/>
    <mergeCell ref="J62:K62"/>
    <mergeCell ref="L38:O38"/>
    <mergeCell ref="U85:AE85"/>
    <mergeCell ref="AA8:AE8"/>
    <mergeCell ref="J64:K64"/>
    <mergeCell ref="K16:O16"/>
    <mergeCell ref="P65:R65"/>
    <mergeCell ref="L40:O40"/>
    <mergeCell ref="AC39:AE39"/>
    <mergeCell ref="AA10:AE10"/>
    <mergeCell ref="K9:O9"/>
    <mergeCell ref="D51:G51"/>
    <mergeCell ref="H7:J7"/>
    <mergeCell ref="P33:S33"/>
    <mergeCell ref="AD59:AE59"/>
    <mergeCell ref="W46:Y46"/>
    <mergeCell ref="W21:Y21"/>
    <mergeCell ref="Z51:AB5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AD62:AE62"/>
    <mergeCell ref="Q89:T89"/>
    <mergeCell ref="T50:V50"/>
    <mergeCell ref="H28:K28"/>
    <mergeCell ref="T44:V44"/>
    <mergeCell ref="Y67:AA67"/>
    <mergeCell ref="D39:G39"/>
    <mergeCell ref="AB64:AC64"/>
    <mergeCell ref="I75:K75"/>
    <mergeCell ref="AD64:AE64"/>
    <mergeCell ref="Y59:AA59"/>
    <mergeCell ref="P30:S30"/>
    <mergeCell ref="L46:O46"/>
    <mergeCell ref="AB78:AE78"/>
    <mergeCell ref="U84:AE84"/>
    <mergeCell ref="V60:X60"/>
    <mergeCell ref="AC25:AE25"/>
    <mergeCell ref="AD56:AE57"/>
    <mergeCell ref="L48:O48"/>
    <mergeCell ref="H13:J13"/>
    <mergeCell ref="U86:AE86"/>
    <mergeCell ref="J65:K65"/>
    <mergeCell ref="H15:J15"/>
    <mergeCell ref="P41:S41"/>
    <mergeCell ref="L58:M58"/>
    <mergeCell ref="C80:AE80"/>
    <mergeCell ref="W29:Y29"/>
    <mergeCell ref="W23:Y23"/>
    <mergeCell ref="L43:O43"/>
    <mergeCell ref="H8:J8"/>
    <mergeCell ref="O89:P89"/>
    <mergeCell ref="P34:S34"/>
    <mergeCell ref="L60:M60"/>
    <mergeCell ref="P49:S49"/>
    <mergeCell ref="N60:O60"/>
    <mergeCell ref="H10:J10"/>
    <mergeCell ref="D17:G17"/>
    <mergeCell ref="T74:W74"/>
    <mergeCell ref="P36:S36"/>
    <mergeCell ref="Y62:AA62"/>
    <mergeCell ref="AA11:AE11"/>
    <mergeCell ref="D67:E67"/>
    <mergeCell ref="S62:U62"/>
    <mergeCell ref="O90:P90"/>
    <mergeCell ref="T76:W76"/>
    <mergeCell ref="Y64:AA64"/>
    <mergeCell ref="W51:Y51"/>
    <mergeCell ref="P59:R59"/>
    <mergeCell ref="C92:G92"/>
    <mergeCell ref="D12:G12"/>
    <mergeCell ref="Z37:AB37"/>
    <mergeCell ref="F75:H75"/>
    <mergeCell ref="P61:R61"/>
    <mergeCell ref="AB68:AE68"/>
    <mergeCell ref="D14:G14"/>
    <mergeCell ref="H30:K30"/>
    <mergeCell ref="H64:I64"/>
    <mergeCell ref="W42:Y42"/>
    <mergeCell ref="P29:S29"/>
    <mergeCell ref="H29:K29"/>
    <mergeCell ref="H44:K44"/>
    <mergeCell ref="P31:S31"/>
    <mergeCell ref="H31:K31"/>
    <mergeCell ref="F67:G67"/>
    <mergeCell ref="T38:V38"/>
    <mergeCell ref="AC28:AE28"/>
    <mergeCell ref="T12:Z12"/>
    <mergeCell ref="L51:O51"/>
    <mergeCell ref="Z25:AB25"/>
    <mergeCell ref="AC30:AE30"/>
    <mergeCell ref="V63:X63"/>
    <mergeCell ref="D8:G8"/>
    <mergeCell ref="AB58:AC58"/>
    <mergeCell ref="AC23:AE23"/>
    <mergeCell ref="W32:Y32"/>
    <mergeCell ref="L66:M66"/>
    <mergeCell ref="N66:O66"/>
    <mergeCell ref="H24:K24"/>
    <mergeCell ref="P42:S42"/>
    <mergeCell ref="H42:K42"/>
    <mergeCell ref="AB60:AC60"/>
    <mergeCell ref="AD60:AE60"/>
    <mergeCell ref="D77:E77"/>
    <mergeCell ref="H26:K26"/>
    <mergeCell ref="AB74:AE74"/>
    <mergeCell ref="T77:W77"/>
    <mergeCell ref="Y65:AA65"/>
    <mergeCell ref="V66:X66"/>
    <mergeCell ref="T31:V31"/>
    <mergeCell ref="N61:O61"/>
    <mergeCell ref="O93:P93"/>
    <mergeCell ref="AB76:AE76"/>
    <mergeCell ref="D22:G22"/>
    <mergeCell ref="P62:R62"/>
    <mergeCell ref="S63:U63"/>
    <mergeCell ref="H83:N83"/>
    <mergeCell ref="D13:G13"/>
    <mergeCell ref="W44:Y44"/>
    <mergeCell ref="I74:K74"/>
    <mergeCell ref="V61:X61"/>
    <mergeCell ref="H65:I65"/>
    <mergeCell ref="K17:O17"/>
    <mergeCell ref="C91:G91"/>
    <mergeCell ref="H85:N85"/>
    <mergeCell ref="O82:P82"/>
    <mergeCell ref="P39:S39"/>
    <mergeCell ref="H45:K45"/>
    <mergeCell ref="P32:S32"/>
    <mergeCell ref="AD58:AE58"/>
    <mergeCell ref="H37:K37"/>
    <mergeCell ref="P47:S47"/>
    <mergeCell ref="C86:G86"/>
    <mergeCell ref="H47:K47"/>
    <mergeCell ref="P67:R67"/>
    <mergeCell ref="W22:Y22"/>
    <mergeCell ref="D33:G33"/>
    <mergeCell ref="T26:V26"/>
    <mergeCell ref="AC42:AE42"/>
    <mergeCell ref="AC29:AE29"/>
    <mergeCell ref="Z33:AB33"/>
    <mergeCell ref="P57:R57"/>
    <mergeCell ref="D35:G35"/>
    <mergeCell ref="AC44:AE44"/>
    <mergeCell ref="AC31:AE31"/>
    <mergeCell ref="Z35:AB35"/>
    <mergeCell ref="D34:G34"/>
    <mergeCell ref="T15:Z15"/>
    <mergeCell ref="P50:S50"/>
    <mergeCell ref="P25:S25"/>
    <mergeCell ref="H50:K50"/>
    <mergeCell ref="Z34:AB34"/>
    <mergeCell ref="K12:O12"/>
    <mergeCell ref="W38:Y38"/>
    <mergeCell ref="Z28:AB28"/>
    <mergeCell ref="N67:O67"/>
    <mergeCell ref="D36:G36"/>
    <mergeCell ref="Z36:AB36"/>
    <mergeCell ref="K14:O14"/>
    <mergeCell ref="T39:V39"/>
    <mergeCell ref="W40:Y40"/>
    <mergeCell ref="V68:X68"/>
    <mergeCell ref="Z30:AB30"/>
    <mergeCell ref="K7:O7"/>
    <mergeCell ref="V67:X67"/>
    <mergeCell ref="C81:G81"/>
    <mergeCell ref="T32:V32"/>
    <mergeCell ref="W33:Y33"/>
    <mergeCell ref="S58:U58"/>
    <mergeCell ref="AB77:AE77"/>
    <mergeCell ref="T47:V47"/>
    <mergeCell ref="Q81:T81"/>
    <mergeCell ref="I76:K76"/>
    <mergeCell ref="W35:Y35"/>
    <mergeCell ref="H84:N84"/>
    <mergeCell ref="T8:Z8"/>
    <mergeCell ref="L22:O22"/>
    <mergeCell ref="T75:W75"/>
    <mergeCell ref="X75:AA75"/>
    <mergeCell ref="S66:U66"/>
    <mergeCell ref="C3:AE3"/>
    <mergeCell ref="D29:G29"/>
    <mergeCell ref="T21:V21"/>
    <mergeCell ref="H58:I58"/>
    <mergeCell ref="H86:N86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Q92:T92"/>
    <mergeCell ref="D49:G49"/>
    <mergeCell ref="L33:O33"/>
    <mergeCell ref="AC45:AE45"/>
    <mergeCell ref="Q94:T94"/>
    <mergeCell ref="Z49:AB49"/>
    <mergeCell ref="AC32:AE32"/>
    <mergeCell ref="AC37:AE37"/>
    <mergeCell ref="P60:R60"/>
    <mergeCell ref="L35:O35"/>
    <mergeCell ref="AC47:AE47"/>
    <mergeCell ref="K13:O13"/>
    <mergeCell ref="H81:N81"/>
    <mergeCell ref="L77:M77"/>
    <mergeCell ref="Z50:AB50"/>
    <mergeCell ref="P28:S28"/>
    <mergeCell ref="K15:O15"/>
    <mergeCell ref="D25:G25"/>
    <mergeCell ref="W41:Y41"/>
    <mergeCell ref="T16:Z16"/>
    <mergeCell ref="Z39:AB39"/>
    <mergeCell ref="W43:Y43"/>
    <mergeCell ref="AC50:AE50"/>
    <mergeCell ref="Q74:S74"/>
    <mergeCell ref="N78:P78"/>
    <mergeCell ref="Q76:S76"/>
    <mergeCell ref="AC27:AE27"/>
    <mergeCell ref="P58:R58"/>
    <mergeCell ref="AA16:AE16"/>
    <mergeCell ref="J63:K63"/>
    <mergeCell ref="L63:M63"/>
    <mergeCell ref="P21:S21"/>
    <mergeCell ref="Q82:T82"/>
    <mergeCell ref="H46:K46"/>
    <mergeCell ref="H21:K21"/>
    <mergeCell ref="X78:AA78"/>
    <mergeCell ref="D110:L110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L49:O49"/>
    <mergeCell ref="J60:K60"/>
    <mergeCell ref="L36:O36"/>
    <mergeCell ref="AC46:AE46"/>
    <mergeCell ref="AA6:AE6"/>
    <mergeCell ref="AC40:AE40"/>
    <mergeCell ref="S64:U64"/>
    <mergeCell ref="T46:V46"/>
    <mergeCell ref="C55:AE55"/>
    <mergeCell ref="D45:G45"/>
    <mergeCell ref="P44:S44"/>
    <mergeCell ref="T37:V37"/>
    <mergeCell ref="AC41:AE41"/>
    <mergeCell ref="Z45:AB45"/>
    <mergeCell ref="P6:S6"/>
    <mergeCell ref="T48:V48"/>
    <mergeCell ref="Q88:T88"/>
    <mergeCell ref="D64:E64"/>
    <mergeCell ref="U92:AE92"/>
    <mergeCell ref="D7:G7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H16:J16"/>
    <mergeCell ref="Z48:AB48"/>
    <mergeCell ref="C56:C57"/>
    <mergeCell ref="C94:G94"/>
    <mergeCell ref="P26:S26"/>
    <mergeCell ref="D75:E75"/>
    <mergeCell ref="AC21:AE21"/>
    <mergeCell ref="Y57:AA57"/>
    <mergeCell ref="F62:G62"/>
    <mergeCell ref="U87:AE87"/>
    <mergeCell ref="AC48:AE48"/>
    <mergeCell ref="L42:O42"/>
    <mergeCell ref="U89:AE89"/>
    <mergeCell ref="AA12:AE12"/>
    <mergeCell ref="L59:M59"/>
    <mergeCell ref="X74:AA74"/>
    <mergeCell ref="O91:P91"/>
    <mergeCell ref="T45:V45"/>
    <mergeCell ref="O85:P85"/>
    <mergeCell ref="D47:G47"/>
    <mergeCell ref="U82:AE82"/>
    <mergeCell ref="L39:O39"/>
    <mergeCell ref="J61:K61"/>
    <mergeCell ref="L61:M61"/>
    <mergeCell ref="C87:G87"/>
    <mergeCell ref="F64:G64"/>
    <mergeCell ref="X76:AA76"/>
    <mergeCell ref="H6:J6"/>
    <mergeCell ref="P37:S37"/>
    <mergeCell ref="V59:X59"/>
    <mergeCell ref="O86:P86"/>
    <mergeCell ref="C89:G89"/>
    <mergeCell ref="D15:G15"/>
    <mergeCell ref="H48:K48"/>
    <mergeCell ref="Y60:AA60"/>
    <mergeCell ref="T6:Z6"/>
    <mergeCell ref="D65:E65"/>
    <mergeCell ref="T51:V51"/>
    <mergeCell ref="C88:G88"/>
    <mergeCell ref="Q91:T91"/>
    <mergeCell ref="H92:N92"/>
    <mergeCell ref="L32:O32"/>
    <mergeCell ref="D10:G10"/>
    <mergeCell ref="H43:K43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O81:P81"/>
    <mergeCell ref="T35:V35"/>
    <mergeCell ref="Y58:AA58"/>
    <mergeCell ref="N75:P75"/>
    <mergeCell ref="P56:U56"/>
    <mergeCell ref="U88:AE88"/>
    <mergeCell ref="L25:O25"/>
    <mergeCell ref="D28:G28"/>
    <mergeCell ref="H67:I67"/>
    <mergeCell ref="J67:K67"/>
    <mergeCell ref="AC24:AE24"/>
    <mergeCell ref="L67:M67"/>
    <mergeCell ref="F65:G65"/>
    <mergeCell ref="U90:AE90"/>
    <mergeCell ref="D30:G30"/>
    <mergeCell ref="Z21:AB21"/>
    <mergeCell ref="AC26:AE26"/>
    <mergeCell ref="D23:G23"/>
    <mergeCell ref="P45:S45"/>
    <mergeCell ref="AA15:AE15"/>
    <mergeCell ref="Z29:AB29"/>
    <mergeCell ref="L62:M62"/>
    <mergeCell ref="Z23:AB23"/>
    <mergeCell ref="H82:N82"/>
    <mergeCell ref="N62:O62"/>
    <mergeCell ref="X77:AA77"/>
    <mergeCell ref="H12:J12"/>
    <mergeCell ref="P38:S38"/>
    <mergeCell ref="L64:M64"/>
    <mergeCell ref="C90:G90"/>
    <mergeCell ref="N64:O64"/>
    <mergeCell ref="H14:J14"/>
    <mergeCell ref="P40:S40"/>
    <mergeCell ref="V65:X65"/>
    <mergeCell ref="W28:Y28"/>
    <mergeCell ref="D58:E58"/>
    <mergeCell ref="O94:P94"/>
    <mergeCell ref="F58:G58"/>
    <mergeCell ref="H51:K51"/>
    <mergeCell ref="I77:K77"/>
    <mergeCell ref="H56:I57"/>
    <mergeCell ref="S59:U59"/>
    <mergeCell ref="P63:R63"/>
    <mergeCell ref="D16:G16"/>
    <mergeCell ref="F60:G60"/>
    <mergeCell ref="F74:H74"/>
    <mergeCell ref="S61:U61"/>
    <mergeCell ref="F76:H76"/>
    <mergeCell ref="AD67:AE67"/>
    <mergeCell ref="L75:M75"/>
    <mergeCell ref="H33:K33"/>
    <mergeCell ref="H35:K35"/>
    <mergeCell ref="T22:V22"/>
    <mergeCell ref="Q87:T87"/>
    <mergeCell ref="U91:AE91"/>
    <mergeCell ref="L28:O28"/>
    <mergeCell ref="D31:G31"/>
    <mergeCell ref="D6:G6"/>
    <mergeCell ref="H39:K39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L65:M65"/>
    <mergeCell ref="W36:Y36"/>
    <mergeCell ref="V64:X64"/>
    <mergeCell ref="N65:O65"/>
    <mergeCell ref="Z26:AB26"/>
    <mergeCell ref="W30:Y30"/>
    <mergeCell ref="T11:Z11"/>
    <mergeCell ref="S67:U67"/>
    <mergeCell ref="N63:O63"/>
    <mergeCell ref="F63:G63"/>
    <mergeCell ref="H63:I63"/>
    <mergeCell ref="L21:O21"/>
    <mergeCell ref="P43:S43"/>
    <mergeCell ref="D24:G24"/>
    <mergeCell ref="W31:Y31"/>
    <mergeCell ref="D42:G42"/>
    <mergeCell ref="H23:K23"/>
    <mergeCell ref="AA9:AE9"/>
    <mergeCell ref="Z42:AB42"/>
    <mergeCell ref="D26:G26"/>
    <mergeCell ref="D50:G50"/>
    <mergeCell ref="D76:E76"/>
    <mergeCell ref="D44:G44"/>
    <mergeCell ref="P66:R66"/>
    <mergeCell ref="AC22:AE22"/>
    <mergeCell ref="Z44:AB44"/>
    <mergeCell ref="F77:H77"/>
    <mergeCell ref="H41:K41"/>
    <mergeCell ref="V57:X57"/>
    <mergeCell ref="AC51:AE51"/>
    <mergeCell ref="P9:S9"/>
    <mergeCell ref="K8:O8"/>
    <mergeCell ref="H34:K34"/>
    <mergeCell ref="V56:AA56"/>
    <mergeCell ref="H49:K49"/>
    <mergeCell ref="W49:Y49"/>
    <mergeCell ref="P11:S11"/>
    <mergeCell ref="H36:K36"/>
    <mergeCell ref="V58:X58"/>
    <mergeCell ref="W24:Y24"/>
    <mergeCell ref="L30:O30"/>
    <mergeCell ref="L29:O29"/>
    <mergeCell ref="W26:Y26"/>
    <mergeCell ref="D37:G37"/>
    <mergeCell ref="AC33:AE33"/>
    <mergeCell ref="D9:G9"/>
    <mergeCell ref="L44:O44"/>
    <mergeCell ref="D56:E57"/>
    <mergeCell ref="T17:Z17"/>
    <mergeCell ref="F56:G57"/>
    <mergeCell ref="S57:U57"/>
    <mergeCell ref="Z47:AB47"/>
    <mergeCell ref="AC35:AE35"/>
    <mergeCell ref="D38:G38"/>
    <mergeCell ref="O92:P92"/>
    <mergeCell ref="AC34:AE34"/>
    <mergeCell ref="Z38:AB38"/>
    <mergeCell ref="T41:V41"/>
    <mergeCell ref="N58:O58"/>
    <mergeCell ref="P51:S51"/>
    <mergeCell ref="AD65:AE65"/>
    <mergeCell ref="W39:Y39"/>
    <mergeCell ref="T43:V43"/>
    <mergeCell ref="W109:AA109"/>
    <mergeCell ref="Q83:T83"/>
    <mergeCell ref="N74:P74"/>
    <mergeCell ref="Q75:S75"/>
    <mergeCell ref="T36:V36"/>
    <mergeCell ref="W37:Y37"/>
    <mergeCell ref="H66:I66"/>
    <mergeCell ref="L24:O24"/>
    <mergeCell ref="D27:G27"/>
    <mergeCell ref="J66:K66"/>
    <mergeCell ref="H89:N89"/>
    <mergeCell ref="Q85:T85"/>
    <mergeCell ref="N76:P76"/>
    <mergeCell ref="Z27:AB27"/>
    <mergeCell ref="H88:N88"/>
    <mergeCell ref="L26:O26"/>
    <mergeCell ref="P17:S17"/>
    <mergeCell ref="H9:J9"/>
    <mergeCell ref="H90:N90"/>
    <mergeCell ref="T25:V25"/>
    <mergeCell ref="O87:P87"/>
    <mergeCell ref="N77:P77"/>
    <mergeCell ref="H22:K22"/>
    <mergeCell ref="Z22:AB22"/>
    <mergeCell ref="T7:Z7"/>
    <mergeCell ref="W50:Y50"/>
    <mergeCell ref="P12:S12"/>
    <mergeCell ref="F59:G59"/>
    <mergeCell ref="H59:I59"/>
    <mergeCell ref="D52:K52"/>
    <mergeCell ref="W27:Y27"/>
    <mergeCell ref="S65:U65"/>
    <mergeCell ref="C93:G93"/>
    <mergeCell ref="C20:AE20"/>
    <mergeCell ref="H61:I61"/>
    <mergeCell ref="O84:P84"/>
    <mergeCell ref="D46:G46"/>
    <mergeCell ref="L37:O37"/>
    <mergeCell ref="D40:G40"/>
    <mergeCell ref="AC49:AE49"/>
    <mergeCell ref="D68:U68"/>
    <mergeCell ref="Z46:AB46"/>
    <mergeCell ref="AA7:AE7"/>
    <mergeCell ref="AC36:AE36"/>
    <mergeCell ref="Z40:AB40"/>
    <mergeCell ref="S60:U60"/>
    <mergeCell ref="P64:R64"/>
    <mergeCell ref="D41:G41"/>
    <mergeCell ref="C82:G82"/>
    <mergeCell ref="Z41:AB41"/>
    <mergeCell ref="W45:Y45"/>
    <mergeCell ref="P7:S7"/>
    <mergeCell ref="K6:O6"/>
    <mergeCell ref="D43:G43"/>
    <mergeCell ref="H32:K32"/>
    <mergeCell ref="Q84:T84"/>
  </mergeCells>
  <conditionalFormatting sqref="H17:S17">
    <cfRule type="containsBlanks" priority="1" dxfId="0">
      <formula>LEN(TRIM(H17))=0</formula>
    </cfRule>
  </conditionalFormatting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0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W1293"/>
  <sheetViews>
    <sheetView showGridLines="0" showZeros="0" view="pageBreakPreview" zoomScale="70" zoomScaleNormal="70" zoomScaleSheetLayoutView="70" workbookViewId="0">
      <selection activeCell="AC10" sqref="AC10:AE10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6"/>
    <col width="5.28515625" customWidth="1" min="27" max="27"/>
    <col width="6.42578125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9.140625" customWidth="1" min="34" max="34"/>
    <col hidden="1" width="4.5703125" customWidth="1" min="35" max="35"/>
    <col hidden="1" width="15.28515625" customWidth="1" min="36" max="36"/>
    <col hidden="1" width="4" customWidth="1" min="37" max="37"/>
    <col hidden="1" width="58.7109375" customWidth="1" min="38" max="38"/>
    <col hidden="1" width="76.7109375" customWidth="1" min="39" max="39"/>
    <col hidden="1" width="116.5703125" customWidth="1" style="60" min="40" max="40"/>
    <col width="9.140625" customWidth="1" min="41" max="41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  <c r="AI2" s="78" t="n">
        <v>20</v>
      </c>
    </row>
    <row r="3" ht="30" customHeight="1">
      <c r="B3" s="62" t="n"/>
      <c r="C3" s="53" t="n"/>
      <c r="D3" s="19" t="n"/>
      <c r="E3" s="54" t="n"/>
      <c r="F3" s="455" t="inlineStr">
        <is>
          <t>NT.00020.EQTL.Normas e Qualidade
ANEXO I - Formulário de Solicitação de Orçamento de Microgeração Distribuída Grupo B</t>
        </is>
      </c>
      <c r="G3" s="451" t="n"/>
      <c r="H3" s="451" t="n"/>
      <c r="I3" s="451" t="n"/>
      <c r="J3" s="451" t="n"/>
      <c r="K3" s="451" t="n"/>
      <c r="L3" s="451" t="n"/>
      <c r="M3" s="451" t="n"/>
      <c r="N3" s="451" t="n"/>
      <c r="O3" s="451" t="n"/>
      <c r="P3" s="451" t="n"/>
      <c r="Q3" s="451" t="n"/>
      <c r="R3" s="451" t="n"/>
      <c r="S3" s="451" t="n"/>
      <c r="T3" s="451" t="n"/>
      <c r="U3" s="451" t="n"/>
      <c r="V3" s="451" t="n"/>
      <c r="W3" s="451" t="n"/>
      <c r="X3" s="451" t="n"/>
      <c r="Y3" s="451" t="n"/>
      <c r="Z3" s="451" t="n"/>
      <c r="AA3" s="451" t="n"/>
      <c r="AB3" s="451" t="n"/>
      <c r="AC3" s="451" t="n"/>
      <c r="AD3" s="451" t="n"/>
      <c r="AE3" s="456" t="n"/>
      <c r="AF3" s="1" t="n"/>
      <c r="AI3" s="59" t="n">
        <v>25</v>
      </c>
      <c r="AJ3" s="59" t="inlineStr">
        <is>
          <t>MONOFÁSICO</t>
        </is>
      </c>
      <c r="AK3" s="59" t="inlineStr">
        <is>
          <t>AL</t>
        </is>
      </c>
      <c r="AL3" s="59" t="inlineStr">
        <is>
          <t>Residencial</t>
        </is>
      </c>
      <c r="AM3" s="59" t="inlineStr">
        <is>
          <t>Preencher as coordenadas ponto de entrega do acessante em UTM Fuso 21, 22 ou 23</t>
        </is>
      </c>
      <c r="AN3" s="60" t="inlineStr">
        <is>
          <t>LIGAÇÃO NOVA DE UNIDADE CONSUMIDORA COM GERAÇÃO DISTRIBUÍDA</t>
        </is>
      </c>
    </row>
    <row r="4" ht="18" customHeight="1">
      <c r="B4" s="62" t="n"/>
      <c r="C4" s="55" t="n"/>
      <c r="D4" s="2" t="n"/>
      <c r="E4" s="3" t="n"/>
      <c r="AE4" s="457" t="n"/>
      <c r="AF4" s="63" t="n"/>
      <c r="AH4" s="59" t="n"/>
      <c r="AI4" s="59" t="n">
        <v>30</v>
      </c>
      <c r="AJ4" s="59" t="inlineStr">
        <is>
          <t>BIFÁSICO</t>
        </is>
      </c>
      <c r="AK4" s="59" t="inlineStr">
        <is>
          <t>AP</t>
        </is>
      </c>
      <c r="AL4" s="59" t="inlineStr">
        <is>
          <t>Industrial</t>
        </is>
      </c>
      <c r="AM4" s="59" t="inlineStr">
        <is>
          <t>Preencher as coordenadas do ponto de entrega do acessante em UTM Fuso 23</t>
        </is>
      </c>
      <c r="AN4" s="59" t="inlineStr">
        <is>
          <t>CONEXÃO DE GD EM UNIDADE CONSUMIDORA EXISTENTE SEM AUMENTO DE POTÊNCIA DISPONIBILIZADA (ver item abaixo)</t>
        </is>
      </c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32.25" customHeight="1" thickBot="1">
      <c r="B5" s="62" t="n"/>
      <c r="C5" s="56" t="n"/>
      <c r="D5" s="14" t="n"/>
      <c r="E5" s="57" t="n"/>
      <c r="F5" s="458" t="n"/>
      <c r="G5" s="458" t="n"/>
      <c r="H5" s="458" t="n"/>
      <c r="I5" s="458" t="n"/>
      <c r="J5" s="458" t="n"/>
      <c r="K5" s="458" t="n"/>
      <c r="L5" s="458" t="n"/>
      <c r="M5" s="458" t="n"/>
      <c r="N5" s="458" t="n"/>
      <c r="O5" s="458" t="n"/>
      <c r="P5" s="458" t="n"/>
      <c r="Q5" s="458" t="n"/>
      <c r="R5" s="458" t="n"/>
      <c r="S5" s="458" t="n"/>
      <c r="T5" s="458" t="n"/>
      <c r="U5" s="458" t="n"/>
      <c r="V5" s="458" t="n"/>
      <c r="W5" s="458" t="n"/>
      <c r="X5" s="458" t="n"/>
      <c r="Y5" s="458" t="n"/>
      <c r="Z5" s="458" t="n"/>
      <c r="AA5" s="458" t="n"/>
      <c r="AB5" s="458" t="n"/>
      <c r="AC5" s="458" t="n"/>
      <c r="AD5" s="458" t="n"/>
      <c r="AE5" s="459" t="n"/>
      <c r="AF5" s="63" t="n"/>
      <c r="AH5" s="59" t="n"/>
      <c r="AI5" s="59" t="n">
        <v>32</v>
      </c>
      <c r="AJ5" s="59" t="inlineStr">
        <is>
          <t>TRIFÁSICO</t>
        </is>
      </c>
      <c r="AK5" t="inlineStr">
        <is>
          <t>GO</t>
        </is>
      </c>
      <c r="AL5" s="59" t="inlineStr">
        <is>
          <t>Comércio, serviços e outras atividades</t>
        </is>
      </c>
      <c r="AM5" s="59" t="inlineStr">
        <is>
          <t>Preencher as coordenadas do ponto de entrega do acessante em UTM Fuso 23 ou 24</t>
        </is>
      </c>
      <c r="AN5" s="59" t="inlineStr">
        <is>
          <t>CONEXÃO DE GD EM UNIDADE CONSUMIDORA EXISTENTE COM AUMENTO DE POTÊNCIA DISPONIBILIZADA (ver item abaixo)</t>
        </is>
      </c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9.949999999999999" customHeight="1" thickBot="1">
      <c r="B6" s="62" t="n"/>
      <c r="C6" s="2" t="n"/>
      <c r="D6" s="2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55" t="n"/>
      <c r="T6" s="155" t="n"/>
      <c r="U6" s="155" t="n"/>
      <c r="V6" s="155" t="n"/>
      <c r="W6" s="155" t="n"/>
      <c r="X6" s="5" t="n"/>
      <c r="Y6" s="2" t="n"/>
      <c r="Z6" s="6" t="n"/>
      <c r="AA6" s="6" t="n"/>
      <c r="AB6" s="460" t="n"/>
      <c r="AC6" s="460" t="n"/>
      <c r="AD6" s="460" t="n"/>
      <c r="AE6" s="460" t="n"/>
      <c r="AF6" s="63" t="n"/>
      <c r="AH6" s="59" t="n"/>
      <c r="AI6" s="59" t="n">
        <v>40</v>
      </c>
      <c r="AK6" s="59" t="inlineStr">
        <is>
          <t>MA</t>
        </is>
      </c>
      <c r="AL6" s="59" t="inlineStr">
        <is>
          <t>Rural</t>
        </is>
      </c>
      <c r="AM6" s="59" t="inlineStr">
        <is>
          <t>Preencher as coordenadas do ponto de entrega do acessante em UTM Fuso 24 ou 25</t>
        </is>
      </c>
      <c r="AN6" s="59" t="inlineStr">
        <is>
          <t>AUMENTO DA POTÊNCIA DE GERAÇÃO EM UC COM GD EXISTENTE SEM AUMENTO DE POTÊNCIA DISPONIBILIZADA (ver item abaixo)</t>
        </is>
      </c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 thickBot="1">
      <c r="B7" s="62" t="n"/>
      <c r="C7" s="461" t="inlineStr">
        <is>
          <t>1. Identificação e Dados Cadastrais da Unidade Consumidora - PREENCHER, OBRIGATORIAMENTE, TODOS OS CAMPOS NA COR VERMELHA</t>
        </is>
      </c>
      <c r="D7" s="415" t="n"/>
      <c r="E7" s="415" t="n"/>
      <c r="F7" s="415" t="n"/>
      <c r="G7" s="415" t="n"/>
      <c r="H7" s="415" t="n"/>
      <c r="I7" s="415" t="n"/>
      <c r="J7" s="415" t="n"/>
      <c r="K7" s="415" t="n"/>
      <c r="L7" s="415" t="n"/>
      <c r="M7" s="415" t="n"/>
      <c r="N7" s="415" t="n"/>
      <c r="O7" s="415" t="n"/>
      <c r="P7" s="415" t="n"/>
      <c r="Q7" s="415" t="n"/>
      <c r="R7" s="415" t="n"/>
      <c r="S7" s="415" t="n"/>
      <c r="T7" s="415" t="n"/>
      <c r="U7" s="415" t="n"/>
      <c r="V7" s="415" t="n"/>
      <c r="W7" s="415" t="n"/>
      <c r="X7" s="415" t="n"/>
      <c r="Y7" s="415" t="n"/>
      <c r="Z7" s="415" t="n"/>
      <c r="AA7" s="415" t="n"/>
      <c r="AB7" s="415" t="n"/>
      <c r="AC7" s="415" t="n"/>
      <c r="AD7" s="415" t="n"/>
      <c r="AE7" s="416" t="n"/>
      <c r="AF7" s="63" t="n"/>
      <c r="AH7" s="59" t="n"/>
      <c r="AI7" s="59" t="n">
        <v>50</v>
      </c>
      <c r="AJ7" s="59" t="inlineStr">
        <is>
          <t>SIM</t>
        </is>
      </c>
      <c r="AK7" s="59" t="inlineStr">
        <is>
          <t>PA</t>
        </is>
      </c>
      <c r="AL7" s="59" t="inlineStr">
        <is>
          <t>Poder Público</t>
        </is>
      </c>
      <c r="AM7" s="59" t="inlineStr">
        <is>
          <t>Preencher as coordenadas ponto de entrega do acessante em UTM Fuso 21 ou 22</t>
        </is>
      </c>
      <c r="AN7" s="59" t="inlineStr">
        <is>
          <t>AUMENTO DA POTÊNCIA DE GERAÇÃO EM UC COM GD EXISTENTE COM AUMENTO DE POTÊNCIA DISPONIBILIZADA (ver item abaixo)</t>
        </is>
      </c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9.949999999999999" customHeight="1">
      <c r="B8" s="62" t="n"/>
      <c r="C8" s="65" t="n"/>
      <c r="D8" s="7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63" t="n"/>
      <c r="AH8" s="59" t="n"/>
      <c r="AI8" s="59" t="n">
        <v>60</v>
      </c>
      <c r="AJ8" s="59" t="inlineStr">
        <is>
          <t>NÃO</t>
        </is>
      </c>
      <c r="AK8" s="59" t="inlineStr">
        <is>
          <t>PI</t>
        </is>
      </c>
      <c r="AL8" s="59" t="inlineStr">
        <is>
          <t>Iluminação Pública</t>
        </is>
      </c>
      <c r="AM8" s="59" t="inlineStr">
        <is>
          <t>Preencher as coordenadas ponto de entrega do acessante em UTM Fuso 22</t>
        </is>
      </c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306" t="inlineStr">
        <is>
          <t>Nome do Cliente / Razão Social (Titular da Unidade Consumidora)</t>
        </is>
      </c>
      <c r="D9" s="419" t="n"/>
      <c r="E9" s="419" t="n"/>
      <c r="F9" s="419" t="n"/>
      <c r="G9" s="419" t="n"/>
      <c r="H9" s="419" t="n"/>
      <c r="I9" s="419" t="n"/>
      <c r="J9" s="419" t="n"/>
      <c r="K9" s="419" t="n"/>
      <c r="L9" s="419" t="n"/>
      <c r="M9" s="419" t="n"/>
      <c r="N9" s="419" t="n"/>
      <c r="O9" s="419" t="n"/>
      <c r="P9" s="420" t="n"/>
      <c r="Q9" s="22" t="n"/>
      <c r="R9" s="382" t="inlineStr">
        <is>
          <t>CPF/CNPJ</t>
        </is>
      </c>
      <c r="S9" s="419" t="n"/>
      <c r="T9" s="419" t="n"/>
      <c r="U9" s="419" t="n"/>
      <c r="V9" s="419" t="n"/>
      <c r="W9" s="420" t="n"/>
      <c r="X9" s="66" t="n"/>
      <c r="Y9" s="382" t="inlineStr">
        <is>
          <t>RG</t>
        </is>
      </c>
      <c r="Z9" s="419" t="n"/>
      <c r="AA9" s="419" t="n"/>
      <c r="AB9" s="420" t="n"/>
      <c r="AC9" s="344" t="n">
        <v>1154690</v>
      </c>
      <c r="AD9" s="422" t="n"/>
      <c r="AE9" s="423" t="n"/>
      <c r="AF9" s="63" t="n"/>
      <c r="AH9" s="59" t="n"/>
      <c r="AI9" s="59" t="n">
        <v>63</v>
      </c>
      <c r="AK9" s="59" t="inlineStr">
        <is>
          <t>RS</t>
        </is>
      </c>
      <c r="AL9" s="59" t="inlineStr">
        <is>
          <t>Serviço Público</t>
        </is>
      </c>
      <c r="AM9" s="59" t="inlineStr">
        <is>
          <t>Preencher as coordenadas do ponto de entrega do acessante em UTM Fuso 22 ou 23</t>
        </is>
      </c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462" t="inlineStr">
        <is>
          <t>ADÃO MARCELINO DA SILVA</t>
        </is>
      </c>
      <c r="D10" s="422" t="n"/>
      <c r="E10" s="422" t="n"/>
      <c r="F10" s="422" t="n"/>
      <c r="G10" s="422" t="n"/>
      <c r="H10" s="422" t="n"/>
      <c r="I10" s="422" t="n"/>
      <c r="J10" s="422" t="n"/>
      <c r="K10" s="422" t="n"/>
      <c r="L10" s="422" t="n"/>
      <c r="M10" s="422" t="n"/>
      <c r="N10" s="422" t="n"/>
      <c r="O10" s="422" t="n"/>
      <c r="P10" s="423" t="n"/>
      <c r="Q10" s="23" t="n"/>
      <c r="R10" s="463" t="inlineStr">
        <is>
          <t>269.191.501-82</t>
        </is>
      </c>
      <c r="S10" s="422" t="n"/>
      <c r="T10" s="422" t="n"/>
      <c r="U10" s="422" t="n"/>
      <c r="V10" s="422" t="n"/>
      <c r="W10" s="423" t="n"/>
      <c r="X10" s="66" t="n"/>
      <c r="Y10" s="464" t="inlineStr">
        <is>
          <t>DATA EXPEDIÇÃO</t>
        </is>
      </c>
      <c r="Z10" s="419" t="n"/>
      <c r="AA10" s="419" t="n"/>
      <c r="AB10" s="420" t="n"/>
      <c r="AC10" s="465" t="n">
        <v>45260</v>
      </c>
      <c r="AD10" s="422" t="n"/>
      <c r="AE10" s="423" t="n"/>
      <c r="AF10" s="63" t="n"/>
      <c r="AH10" s="59" t="n"/>
      <c r="AI10" s="59" t="n">
        <v>70</v>
      </c>
      <c r="AJ10" s="59" t="n">
        <v>127</v>
      </c>
      <c r="AK10" s="59" t="n"/>
      <c r="AL10" s="59" t="inlineStr">
        <is>
          <t>Consumo próprio</t>
        </is>
      </c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9.949999999999999" customHeight="1">
      <c r="B11" s="62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23" t="n"/>
      <c r="R11" s="452" t="n"/>
      <c r="S11" s="452" t="n"/>
      <c r="T11" s="452" t="n"/>
      <c r="U11" s="452" t="n"/>
      <c r="V11" s="452" t="n"/>
      <c r="W11" s="452" t="n"/>
      <c r="X11" s="66" t="n"/>
      <c r="Y11" s="2" t="n"/>
      <c r="Z11" s="9" t="n"/>
      <c r="AA11" s="9" t="n"/>
      <c r="AB11" s="466" t="n"/>
      <c r="AC11" s="466" t="n"/>
      <c r="AD11" s="466" t="n"/>
      <c r="AE11" s="466" t="n"/>
      <c r="AF11" s="63" t="n"/>
      <c r="AH11" s="59" t="n"/>
      <c r="AI11" s="59" t="n">
        <v>80</v>
      </c>
      <c r="AJ11" s="59" t="n">
        <v>220</v>
      </c>
      <c r="AK11" s="59" t="n"/>
      <c r="AL11" s="59" t="n"/>
      <c r="AM11" s="59" t="inlineStr">
        <is>
          <t>SOLAR FOTOVOLTAICA</t>
        </is>
      </c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19.5" customHeight="1">
      <c r="B12" s="62" t="n"/>
      <c r="C12" s="306" t="inlineStr">
        <is>
          <t>Endereço</t>
        </is>
      </c>
      <c r="D12" s="419" t="n"/>
      <c r="E12" s="419" t="n"/>
      <c r="F12" s="419" t="n"/>
      <c r="G12" s="419" t="n"/>
      <c r="H12" s="419" t="n"/>
      <c r="I12" s="419" t="n"/>
      <c r="J12" s="419" t="n"/>
      <c r="K12" s="419" t="n"/>
      <c r="L12" s="419" t="n"/>
      <c r="M12" s="419" t="n"/>
      <c r="N12" s="419" t="n"/>
      <c r="O12" s="419" t="n"/>
      <c r="P12" s="420" t="n"/>
      <c r="Q12" s="23" t="n"/>
      <c r="R12" s="306" t="inlineStr">
        <is>
          <t>Contatos telefônicos</t>
        </is>
      </c>
      <c r="S12" s="419" t="n"/>
      <c r="T12" s="419" t="n"/>
      <c r="U12" s="419" t="n"/>
      <c r="V12" s="419" t="n"/>
      <c r="W12" s="419" t="n"/>
      <c r="X12" s="419" t="n"/>
      <c r="Y12" s="419" t="n"/>
      <c r="Z12" s="419" t="n"/>
      <c r="AA12" s="419" t="n"/>
      <c r="AB12" s="419" t="n"/>
      <c r="AC12" s="419" t="n"/>
      <c r="AD12" s="419" t="n"/>
      <c r="AE12" s="420" t="n"/>
      <c r="AF12" s="63" t="n"/>
      <c r="AH12" s="59" t="n"/>
      <c r="AI12" s="59" t="n">
        <v>100</v>
      </c>
      <c r="AJ12" s="59" t="n">
        <v>380</v>
      </c>
      <c r="AK12" s="59" t="n"/>
      <c r="AL12" s="59" t="inlineStr">
        <is>
          <t>AUTOCONSUMO LOCAL</t>
        </is>
      </c>
      <c r="AM12" s="59" t="inlineStr">
        <is>
          <t>EÓLICA</t>
        </is>
      </c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462" t="inlineStr">
        <is>
          <t>RUA DA UNIÃO, QD. 171, LT. 15, S/N, JARDIM NOVA ESPERANÇA</t>
        </is>
      </c>
      <c r="D13" s="422" t="n"/>
      <c r="E13" s="422" t="n"/>
      <c r="F13" s="422" t="n"/>
      <c r="G13" s="422" t="n"/>
      <c r="H13" s="422" t="n"/>
      <c r="I13" s="422" t="n"/>
      <c r="J13" s="422" t="n"/>
      <c r="K13" s="422" t="n"/>
      <c r="L13" s="422" t="n"/>
      <c r="M13" s="422" t="n"/>
      <c r="N13" s="422" t="n"/>
      <c r="O13" s="422" t="n"/>
      <c r="P13" s="423" t="n"/>
      <c r="Q13" s="23" t="n"/>
      <c r="R13" s="467" t="inlineStr">
        <is>
          <t>Celular</t>
        </is>
      </c>
      <c r="S13" s="420" t="n"/>
      <c r="T13" s="344" t="inlineStr">
        <is>
          <t>62 8471-8268</t>
        </is>
      </c>
      <c r="U13" s="422" t="n"/>
      <c r="V13" s="422" t="n"/>
      <c r="W13" s="422" t="n"/>
      <c r="X13" s="422" t="n"/>
      <c r="Y13" s="423" t="n"/>
      <c r="Z13" s="467" t="inlineStr">
        <is>
          <t>Fixo</t>
        </is>
      </c>
      <c r="AA13" s="420" t="n"/>
      <c r="AB13" s="344" t="n"/>
      <c r="AC13" s="422" t="n"/>
      <c r="AD13" s="422" t="n"/>
      <c r="AE13" s="423" t="n"/>
      <c r="AF13" s="63" t="n"/>
      <c r="AH13" s="59" t="n"/>
      <c r="AI13" s="59" t="n">
        <v>125</v>
      </c>
      <c r="AJ13" s="59" t="inlineStr">
        <is>
          <t>AÉREO</t>
        </is>
      </c>
      <c r="AK13" s="59" t="n"/>
      <c r="AL13" s="59" t="inlineStr">
        <is>
          <t>AUTOCONSUMO REMOTO</t>
        </is>
      </c>
      <c r="AM13" s="59" t="inlineStr">
        <is>
          <t>HIDRÁULICA</t>
        </is>
      </c>
      <c r="AN13" s="60" t="inlineStr">
        <is>
          <t>1Ø 127</t>
        </is>
      </c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9.949999999999999" customHeight="1">
      <c r="B14" s="62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23" t="n"/>
      <c r="R14" s="468" t="n"/>
      <c r="S14" s="468" t="n"/>
      <c r="T14" s="468" t="n"/>
      <c r="U14" s="468" t="n"/>
      <c r="V14" s="469" t="n"/>
      <c r="W14" s="469" t="n"/>
      <c r="X14" s="469" t="n"/>
      <c r="Y14" s="469" t="n"/>
      <c r="Z14" s="469" t="n"/>
      <c r="AA14" s="468" t="n"/>
      <c r="AB14" s="468" t="n"/>
      <c r="AC14" s="468" t="n"/>
      <c r="AD14" s="468" t="n"/>
      <c r="AE14" s="468" t="n"/>
      <c r="AF14" s="63" t="n"/>
      <c r="AH14" s="59" t="n"/>
      <c r="AI14" s="59" t="n">
        <v>150</v>
      </c>
      <c r="AJ14" s="59" t="inlineStr">
        <is>
          <t>SUBTERRÂNEO</t>
        </is>
      </c>
      <c r="AK14" s="59" t="n"/>
      <c r="AL14" s="59" t="inlineStr">
        <is>
          <t>GERAÇÃO COMPARTILHADA</t>
        </is>
      </c>
      <c r="AM14" s="59" t="inlineStr">
        <is>
          <t>BIOMASSA (especificar ao lado o tipo de fonte primária)</t>
        </is>
      </c>
      <c r="AN14" s="60" t="inlineStr">
        <is>
          <t>2Ø 220</t>
        </is>
      </c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0" t="inlineStr">
        <is>
          <t>CEP:</t>
        </is>
      </c>
      <c r="D15" s="470" t="inlineStr">
        <is>
          <t>74465-460</t>
        </is>
      </c>
      <c r="E15" s="423" t="n"/>
      <c r="F15" s="2" t="n"/>
      <c r="G15" s="306" t="inlineStr">
        <is>
          <t>Munícipio</t>
        </is>
      </c>
      <c r="H15" s="420" t="n"/>
      <c r="I15" s="344" t="inlineStr">
        <is>
          <t>Goiânia</t>
        </is>
      </c>
      <c r="J15" s="422" t="n"/>
      <c r="K15" s="422" t="n"/>
      <c r="L15" s="423" t="n"/>
      <c r="M15" s="2" t="n"/>
      <c r="N15" s="306" t="inlineStr">
        <is>
          <t>UF (selecionar)</t>
        </is>
      </c>
      <c r="O15" s="419" t="n"/>
      <c r="P15" s="420" t="n"/>
      <c r="Q15" s="347" t="inlineStr">
        <is>
          <t>GO</t>
        </is>
      </c>
      <c r="R15" s="423" t="n"/>
      <c r="S15" s="66" t="n"/>
      <c r="T15" s="325" t="inlineStr">
        <is>
          <t>E-mail</t>
        </is>
      </c>
      <c r="U15" s="420" t="n"/>
      <c r="V15" s="471" t="inlineStr">
        <is>
          <t>contato@fotonengenharia.com</t>
        </is>
      </c>
      <c r="W15" s="422" t="n"/>
      <c r="X15" s="422" t="n"/>
      <c r="Y15" s="422" t="n"/>
      <c r="Z15" s="422" t="n"/>
      <c r="AA15" s="422" t="n"/>
      <c r="AB15" s="422" t="n"/>
      <c r="AC15" s="422" t="n"/>
      <c r="AD15" s="422" t="n"/>
      <c r="AE15" s="423" t="n"/>
      <c r="AF15" s="63" t="n"/>
      <c r="AH15" s="59" t="n"/>
      <c r="AI15" s="59" t="n">
        <v>175</v>
      </c>
      <c r="AJ15" s="59" t="n"/>
      <c r="AK15" s="59" t="n"/>
      <c r="AL15" s="59" t="inlineStr">
        <is>
          <t>EMPREENDIMENTO DE MÚLTIPLAS UNIDADES CONSUMIDORAS</t>
        </is>
      </c>
      <c r="AM15" s="59" t="inlineStr">
        <is>
          <t>COGERAÇÃO QUALIFICADA</t>
        </is>
      </c>
      <c r="AN15" s="59" t="inlineStr">
        <is>
          <t>3Ø 220</t>
        </is>
      </c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9.949999999999999" customHeight="1">
      <c r="B16" s="62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23" t="n"/>
      <c r="R16" s="468" t="n"/>
      <c r="S16" s="468" t="n"/>
      <c r="T16" s="468" t="n"/>
      <c r="U16" s="468" t="n"/>
      <c r="V16" s="469" t="n"/>
      <c r="W16" s="469" t="n"/>
      <c r="X16" s="469" t="n"/>
      <c r="Y16" s="469" t="n"/>
      <c r="Z16" s="469" t="n"/>
      <c r="AA16" s="468" t="n"/>
      <c r="AB16" s="468" t="n"/>
      <c r="AC16" s="468" t="n"/>
      <c r="AD16" s="468" t="n"/>
      <c r="AE16" s="468" t="n"/>
      <c r="AF16" s="63" t="n"/>
      <c r="AH16" s="59" t="n"/>
      <c r="AI16" s="59" t="n">
        <v>200</v>
      </c>
      <c r="AJ16" s="59" t="n"/>
      <c r="AK16" s="59" t="n"/>
      <c r="AL16" s="59" t="n"/>
      <c r="AM16" s="59" t="inlineStr">
        <is>
          <t>HÍBRIDO (indicar potência total ao lado)</t>
        </is>
      </c>
      <c r="AN16" s="59" t="inlineStr">
        <is>
          <t>1Ø 220</t>
        </is>
      </c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25" customHeight="1">
      <c r="B17" s="62" t="n"/>
      <c r="C17" s="325" t="inlineStr">
        <is>
          <t>Tipo de orçamento desejado</t>
        </is>
      </c>
      <c r="D17" s="419" t="n"/>
      <c r="E17" s="420" t="n"/>
      <c r="F17" s="347" t="inlineStr">
        <is>
          <t>Orçamento de Conexão</t>
        </is>
      </c>
      <c r="G17" s="422" t="n"/>
      <c r="H17" s="422" t="n"/>
      <c r="I17" s="422" t="n"/>
      <c r="J17" s="422" t="n"/>
      <c r="K17" s="422" t="n"/>
      <c r="L17" s="423" t="n"/>
      <c r="M17" s="9" t="n"/>
      <c r="N17" s="155">
        <f>IF(F17="Orçamento Estimado", "Potência Geração","")</f>
        <v/>
      </c>
      <c r="Q17" s="108" t="n"/>
      <c r="R17" s="472">
        <f>IF(F17="Orçamento Estimado", "kW","")</f>
        <v/>
      </c>
      <c r="S17" s="468" t="n"/>
      <c r="T17" s="306" t="inlineStr">
        <is>
          <t>Conta Contrato (Se UC existente)</t>
        </is>
      </c>
      <c r="U17" s="419" t="n"/>
      <c r="V17" s="419" t="n"/>
      <c r="W17" s="419" t="n"/>
      <c r="X17" s="419" t="n"/>
      <c r="Y17" s="420" t="n"/>
      <c r="Z17" s="348" t="n">
        <v>11517621</v>
      </c>
      <c r="AA17" s="422" t="n"/>
      <c r="AB17" s="422" t="n"/>
      <c r="AC17" s="422" t="n"/>
      <c r="AD17" s="422" t="n"/>
      <c r="AE17" s="423" t="n"/>
      <c r="AF17" s="63" t="n"/>
      <c r="AH17" s="59" t="n"/>
      <c r="AI17" s="59" t="n"/>
      <c r="AJ17" s="59" t="n"/>
      <c r="AK17" s="59" t="n"/>
      <c r="AL17" s="59" t="n"/>
      <c r="AM17" s="59" t="inlineStr">
        <is>
          <t>OUTRAS (especificar ao lado)</t>
        </is>
      </c>
      <c r="AN17" s="59" t="inlineStr">
        <is>
          <t>2Ø 380</t>
        </is>
      </c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23" t="n"/>
      <c r="R18" s="468" t="n"/>
      <c r="S18" s="468" t="n"/>
      <c r="T18" s="468" t="n"/>
      <c r="U18" s="468" t="n"/>
      <c r="V18" s="469" t="n"/>
      <c r="W18" s="469" t="n"/>
      <c r="X18" s="469" t="n"/>
      <c r="Y18" s="469" t="n"/>
      <c r="Z18" s="469" t="n"/>
      <c r="AA18" s="468" t="n"/>
      <c r="AB18" s="468" t="n"/>
      <c r="AC18" s="468" t="n"/>
      <c r="AD18" s="468" t="n"/>
      <c r="AE18" s="468" t="n"/>
      <c r="AF18" s="63" t="n"/>
      <c r="AH18" s="59" t="n"/>
      <c r="AI18" s="59" t="n"/>
      <c r="AJ18" s="59" t="n"/>
      <c r="AK18" s="59" t="n"/>
      <c r="AL18" s="59" t="n"/>
      <c r="AN18" s="59" t="inlineStr">
        <is>
          <t>3Ø 380</t>
        </is>
      </c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20.1" customHeight="1">
      <c r="B19" s="62" t="n"/>
      <c r="C19" s="306" t="inlineStr">
        <is>
          <t>Tipo de Solicitação (selecionar)</t>
        </is>
      </c>
      <c r="D19" s="419" t="n"/>
      <c r="E19" s="419" t="n"/>
      <c r="F19" s="420" t="n"/>
      <c r="G19" s="473" t="inlineStr">
        <is>
          <t>CONEXÃO DE GD EM UNIDADE CONSUMIDORA EXISTENTE SEM AUMENTO DE POTÊNCIA DISPONIBILIZADA (ver item abaixo)</t>
        </is>
      </c>
      <c r="H19" s="422" t="n"/>
      <c r="I19" s="422" t="n"/>
      <c r="J19" s="422" t="n"/>
      <c r="K19" s="422" t="n"/>
      <c r="L19" s="422" t="n"/>
      <c r="M19" s="422" t="n"/>
      <c r="N19" s="422" t="n"/>
      <c r="O19" s="422" t="n"/>
      <c r="P19" s="422" t="n"/>
      <c r="Q19" s="422" t="n"/>
      <c r="R19" s="422" t="n"/>
      <c r="S19" s="422" t="n"/>
      <c r="T19" s="422" t="n"/>
      <c r="U19" s="422" t="n"/>
      <c r="V19" s="422" t="n"/>
      <c r="W19" s="422" t="n"/>
      <c r="X19" s="422" t="n"/>
      <c r="Y19" s="422" t="n"/>
      <c r="Z19" s="422" t="n"/>
      <c r="AA19" s="422" t="n"/>
      <c r="AB19" s="422" t="n"/>
      <c r="AC19" s="422" t="n"/>
      <c r="AD19" s="422" t="n"/>
      <c r="AE19" s="423" t="n"/>
      <c r="AF19" s="63" t="n"/>
      <c r="AH19" s="59" t="n"/>
      <c r="AI19" s="59" t="n"/>
      <c r="AJ19" s="59" t="n"/>
      <c r="AK19" s="59" t="n"/>
      <c r="AL19" s="59" t="n"/>
      <c r="AM19" s="59" t="inlineStr">
        <is>
          <t>EMPREGANDO MÁQUINA SÍNCRONA SEM CONVERSOR</t>
        </is>
      </c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9.949999999999999" customHeight="1">
      <c r="B20" s="62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23" t="n"/>
      <c r="R20" s="468" t="n"/>
      <c r="S20" s="468" t="n"/>
      <c r="T20" s="468" t="n"/>
      <c r="U20" s="468" t="n"/>
      <c r="V20" s="469" t="n"/>
      <c r="W20" s="469" t="n"/>
      <c r="X20" s="469" t="n"/>
      <c r="Y20" s="469" t="n"/>
      <c r="Z20" s="469" t="n"/>
      <c r="AA20" s="468" t="n"/>
      <c r="AB20" s="468" t="n"/>
      <c r="AC20" s="468" t="n"/>
      <c r="AD20" s="468" t="n"/>
      <c r="AE20" s="468" t="n"/>
      <c r="AF20" s="63" t="n"/>
      <c r="AH20" s="59" t="n"/>
      <c r="AI20" s="59" t="n"/>
      <c r="AJ20" s="59" t="n"/>
      <c r="AK20" s="59" t="n"/>
      <c r="AL20" s="59" t="n"/>
      <c r="AM20" s="59" t="inlineStr">
        <is>
          <t>EMPREGANDO CONVERSOR ELETRÔNICO/INVERSOR</t>
        </is>
      </c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20.1" customHeight="1">
      <c r="B21" s="62" t="n"/>
      <c r="C21" s="106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/>
      </c>
      <c r="D21" s="419" t="n"/>
      <c r="E21" s="419" t="n"/>
      <c r="F21" s="419" t="n"/>
      <c r="G21" s="419" t="n"/>
      <c r="H21" s="419" t="n"/>
      <c r="I21" s="419" t="n"/>
      <c r="J21" s="419" t="n"/>
      <c r="K21" s="419" t="n"/>
      <c r="L21" s="419" t="n"/>
      <c r="M21" s="419" t="n"/>
      <c r="N21" s="419" t="n"/>
      <c r="O21" s="419" t="n"/>
      <c r="P21" s="419" t="n"/>
      <c r="Q21" s="419" t="n"/>
      <c r="R21" s="419" t="n"/>
      <c r="S21" s="419" t="n"/>
      <c r="T21" s="419" t="n"/>
      <c r="U21" s="420" t="n"/>
      <c r="V21" s="105" t="n"/>
      <c r="W21" s="154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AC21" s="361" t="n"/>
      <c r="AD21" s="474" t="n"/>
      <c r="AE21" s="472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3" t="n"/>
      <c r="AH21" s="59" t="n"/>
      <c r="AI21" s="59" t="n"/>
      <c r="AJ21" s="59" t="n"/>
      <c r="AK21" s="59" t="n"/>
      <c r="AL21" s="59" t="n"/>
      <c r="AM21" s="59" t="inlineStr">
        <is>
          <t>MISTA</t>
        </is>
      </c>
      <c r="AN21" s="60" t="inlineStr">
        <is>
          <t>Orçamento de Conexão</t>
        </is>
      </c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9.949999999999999" customHeight="1">
      <c r="B22" s="62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23" t="n"/>
      <c r="R22" s="468" t="n"/>
      <c r="S22" s="468" t="n"/>
      <c r="T22" s="468" t="n"/>
      <c r="U22" s="468" t="n"/>
      <c r="V22" s="469" t="n"/>
      <c r="W22" s="469" t="n"/>
      <c r="X22" s="469" t="n"/>
      <c r="Y22" s="469" t="n"/>
      <c r="Z22" s="469" t="n"/>
      <c r="AA22" s="468" t="n"/>
      <c r="AB22" s="468" t="n"/>
      <c r="AC22" s="468" t="n"/>
      <c r="AD22" s="468" t="n"/>
      <c r="AE22" s="468" t="n"/>
      <c r="AF22" s="63" t="n"/>
      <c r="AH22" s="59" t="n"/>
      <c r="AI22" s="59" t="n"/>
      <c r="AJ22" s="59" t="n"/>
      <c r="AK22" s="59" t="n"/>
      <c r="AL22" s="59" t="n"/>
      <c r="AM22" s="59" t="inlineStr">
        <is>
          <t>OUTRA (especificar ao lado)</t>
        </is>
      </c>
      <c r="AN22" s="60" t="inlineStr">
        <is>
          <t>Orçamento Estimado</t>
        </is>
      </c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240" t="inlineStr">
        <is>
          <t>Possui Cargas Especiais?</t>
        </is>
      </c>
      <c r="D23" s="419" t="n"/>
      <c r="E23" s="419" t="n"/>
      <c r="F23" s="347" t="inlineStr">
        <is>
          <t>NÃO</t>
        </is>
      </c>
      <c r="G23" s="9" t="n"/>
      <c r="H23" s="306" t="inlineStr">
        <is>
          <t>Detalhar - Cargas especiais</t>
        </is>
      </c>
      <c r="I23" s="419" t="n"/>
      <c r="J23" s="419" t="n"/>
      <c r="K23" s="420" t="n"/>
      <c r="L23" s="344" t="n"/>
      <c r="M23" s="422" t="n"/>
      <c r="N23" s="422" t="n"/>
      <c r="O23" s="422" t="n"/>
      <c r="P23" s="422" t="n"/>
      <c r="Q23" s="422" t="n"/>
      <c r="R23" s="422" t="n"/>
      <c r="S23" s="422" t="n"/>
      <c r="T23" s="422" t="n"/>
      <c r="U23" s="422" t="n"/>
      <c r="V23" s="422" t="n"/>
      <c r="W23" s="422" t="n"/>
      <c r="X23" s="422" t="n"/>
      <c r="Y23" s="422" t="n"/>
      <c r="Z23" s="422" t="n"/>
      <c r="AA23" s="422" t="n"/>
      <c r="AB23" s="422" t="n"/>
      <c r="AC23" s="422" t="n"/>
      <c r="AD23" s="422" t="n"/>
      <c r="AE23" s="423" t="n"/>
      <c r="AF23" s="63" t="n"/>
      <c r="AH23" s="59" t="n"/>
      <c r="AI23" s="59" t="n"/>
      <c r="AJ23" s="59" t="n"/>
      <c r="AK23" s="59" t="n"/>
      <c r="AL23" s="59" t="n"/>
      <c r="AM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9.949999999999999" customHeight="1">
      <c r="B24" s="62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23" t="n"/>
      <c r="R24" s="468" t="n"/>
      <c r="S24" s="468" t="n"/>
      <c r="T24" s="468" t="n"/>
      <c r="U24" s="468" t="n"/>
      <c r="V24" s="469" t="n"/>
      <c r="W24" s="469" t="n"/>
      <c r="X24" s="469" t="n"/>
      <c r="Z24" s="469" t="n"/>
      <c r="AA24" s="468" t="n"/>
      <c r="AB24" s="468" t="n"/>
      <c r="AC24" s="468" t="n"/>
      <c r="AD24" s="468" t="n"/>
      <c r="AE24" s="468" t="n"/>
      <c r="AF24" s="63" t="n"/>
      <c r="AH24" s="59" t="n"/>
      <c r="AI24" s="59" t="n"/>
      <c r="AJ24" s="59" t="n"/>
      <c r="AK24" s="59" t="n"/>
      <c r="AL24" s="59" t="n"/>
      <c r="AM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240" t="inlineStr">
        <is>
          <t>Ramo de Atividade (Descrição)</t>
        </is>
      </c>
      <c r="D25" s="419" t="n"/>
      <c r="E25" s="419" t="n"/>
      <c r="F25" s="419" t="n"/>
      <c r="G25" s="473" t="inlineStr">
        <is>
          <t>Residencial</t>
        </is>
      </c>
      <c r="H25" s="422" t="n"/>
      <c r="I25" s="422" t="n"/>
      <c r="J25" s="422" t="n"/>
      <c r="K25" s="422" t="n"/>
      <c r="L25" s="422" t="n"/>
      <c r="M25" s="422" t="n"/>
      <c r="N25" s="422" t="n"/>
      <c r="O25" s="422" t="n"/>
      <c r="P25" s="422" t="n"/>
      <c r="Q25" s="422" t="n"/>
      <c r="R25" s="422" t="n"/>
      <c r="S25" s="422" t="n"/>
      <c r="T25" s="422" t="n"/>
      <c r="U25" s="422" t="n"/>
      <c r="V25" s="422" t="n"/>
      <c r="W25" s="422" t="n"/>
      <c r="X25" s="422" t="n"/>
      <c r="Y25" s="423" t="n"/>
      <c r="AA25" s="154" t="n"/>
      <c r="AE25" s="104" t="n"/>
      <c r="AF25" s="1" t="n"/>
      <c r="AH25" s="59" t="n"/>
      <c r="AI25" s="59" t="n"/>
      <c r="AJ25" s="59" t="n"/>
      <c r="AK25" s="59" t="n"/>
      <c r="AL25" s="59" t="n"/>
      <c r="AM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9.949999999999999" customHeight="1">
      <c r="B26" s="62" t="n"/>
      <c r="C26" s="29" t="n"/>
      <c r="D26" s="29" t="n"/>
      <c r="E26" s="29" t="n"/>
      <c r="F26" s="2" t="n"/>
      <c r="G26" s="30" t="n"/>
      <c r="H26" s="155" t="n"/>
      <c r="I26" s="2" t="n"/>
      <c r="J26" s="28" t="n"/>
      <c r="K26" s="2" t="n"/>
      <c r="L26" s="2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1" t="n"/>
      <c r="AH26" s="59" t="n"/>
      <c r="AI26" s="59" t="n"/>
      <c r="AJ26" s="59" t="n"/>
      <c r="AK26" s="59" t="n"/>
      <c r="AL26" s="59" t="n"/>
      <c r="AM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306" t="inlineStr">
        <is>
          <t>Classe (selecionar)</t>
        </is>
      </c>
      <c r="D27" s="419" t="n"/>
      <c r="E27" s="420" t="n"/>
      <c r="F27" s="475" t="inlineStr">
        <is>
          <t>Residencial</t>
        </is>
      </c>
      <c r="G27" s="422" t="n"/>
      <c r="H27" s="422" t="n"/>
      <c r="I27" s="422" t="n"/>
      <c r="J27" s="422" t="n"/>
      <c r="K27" s="422" t="n"/>
      <c r="L27" s="422" t="n"/>
      <c r="M27" s="423" t="n"/>
      <c r="O27" s="368" t="inlineStr">
        <is>
          <t>Tipo de Ligação (selecionar)</t>
        </is>
      </c>
      <c r="P27" s="419" t="n"/>
      <c r="Q27" s="419" t="n"/>
      <c r="R27" s="419" t="n"/>
      <c r="S27" s="420" t="n"/>
      <c r="T27" s="476" t="inlineStr">
        <is>
          <t>MONOFÁSICO</t>
        </is>
      </c>
      <c r="U27" s="422" t="n"/>
      <c r="V27" s="423" t="n"/>
      <c r="X27" s="382" t="inlineStr">
        <is>
          <t>Tensão de Atendimento da UC</t>
        </is>
      </c>
      <c r="Y27" s="419" t="n"/>
      <c r="Z27" s="419" t="n"/>
      <c r="AA27" s="419" t="n"/>
      <c r="AB27" s="420" t="n"/>
      <c r="AC27" s="359" t="n">
        <v>220</v>
      </c>
      <c r="AD27" s="477" t="n"/>
      <c r="AE27" s="364" t="inlineStr">
        <is>
          <t>V</t>
        </is>
      </c>
      <c r="AF27" s="1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  <c r="BV27" s="60" t="n"/>
      <c r="BW27" s="60" t="n"/>
      <c r="BX27" s="60" t="n"/>
      <c r="BY27" s="60" t="n"/>
      <c r="BZ27" s="60" t="n"/>
      <c r="CA27" s="60" t="n"/>
      <c r="CB27" s="60" t="n"/>
      <c r="CC27" s="60" t="n"/>
      <c r="CD27" s="60" t="n"/>
      <c r="CE27" s="60" t="n"/>
      <c r="CF27" s="60" t="n"/>
      <c r="CG27" s="60" t="n"/>
      <c r="CH27" s="60" t="n"/>
      <c r="CI27" s="60" t="n"/>
      <c r="CJ27" s="60" t="n"/>
      <c r="CK27" s="60" t="n"/>
      <c r="CL27" s="60" t="n"/>
      <c r="CM27" s="60" t="n"/>
      <c r="CN27" s="60" t="n"/>
      <c r="CO27" s="60" t="n"/>
      <c r="CP27" s="60" t="n"/>
      <c r="CQ27" s="60" t="n"/>
      <c r="CR27" s="60" t="n"/>
      <c r="CS27" s="60" t="n"/>
      <c r="CT27" s="60" t="n"/>
      <c r="CU27" s="60" t="n"/>
      <c r="CV27" s="60" t="n"/>
      <c r="CW27" s="60" t="n"/>
    </row>
    <row r="28" ht="9.949999999999999" customHeight="1">
      <c r="B28" s="62" t="n"/>
      <c r="C28" s="365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1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240" t="inlineStr">
        <is>
          <t>Carga Declarada da UC</t>
        </is>
      </c>
      <c r="D29" s="419" t="n"/>
      <c r="E29" s="419" t="n"/>
      <c r="F29" s="366" t="n">
        <v>7</v>
      </c>
      <c r="G29" s="422" t="n"/>
      <c r="H29" s="80" t="inlineStr">
        <is>
          <t>kW</t>
        </is>
      </c>
      <c r="I29" s="8" t="n"/>
      <c r="J29" s="368" t="inlineStr">
        <is>
          <t>Disjuntor de Entrada da UC (selecionar)</t>
        </is>
      </c>
      <c r="K29" s="419" t="n"/>
      <c r="L29" s="419" t="n"/>
      <c r="M29" s="419" t="n"/>
      <c r="N29" s="419" t="n"/>
      <c r="O29" s="420" t="n"/>
      <c r="P29" s="345" t="n">
        <v>40</v>
      </c>
      <c r="Q29" s="422" t="n"/>
      <c r="R29" s="364" t="inlineStr">
        <is>
          <t>A</t>
        </is>
      </c>
      <c r="S29" s="8" t="n"/>
      <c r="T29" s="368" t="inlineStr">
        <is>
          <t>Potência Disponibilizada (PD) para a UC</t>
        </is>
      </c>
      <c r="U29" s="419" t="n"/>
      <c r="V29" s="419" t="n"/>
      <c r="W29" s="419" t="n"/>
      <c r="X29" s="419" t="n"/>
      <c r="Y29" s="419" t="n"/>
      <c r="Z29" s="419" t="n"/>
      <c r="AA29" s="420" t="n"/>
      <c r="AB29" s="370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425" t="n"/>
      <c r="AD29" s="425" t="n"/>
      <c r="AE29" s="364" t="inlineStr">
        <is>
          <t>kW</t>
        </is>
      </c>
      <c r="AF29" s="1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9.949999999999999" customHeight="1">
      <c r="B30" s="62" t="n"/>
      <c r="C30" s="365" t="n"/>
      <c r="D30" s="365" t="n"/>
      <c r="E30" s="365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1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306" t="inlineStr">
        <is>
          <t>Tipo de Ramal (selecionar)</t>
        </is>
      </c>
      <c r="D31" s="419" t="n"/>
      <c r="E31" s="420" t="n"/>
      <c r="F31" s="372" t="inlineStr">
        <is>
          <t>AÉREO</t>
        </is>
      </c>
      <c r="G31" s="422" t="n"/>
      <c r="H31" s="423" t="n"/>
      <c r="J31" s="368" t="inlineStr">
        <is>
          <t>Nº de identificação do poste ou transformador mais próximo</t>
        </is>
      </c>
      <c r="K31" s="419" t="n"/>
      <c r="L31" s="419" t="n"/>
      <c r="M31" s="419" t="n"/>
      <c r="N31" s="419" t="n"/>
      <c r="O31" s="419" t="n"/>
      <c r="P31" s="419" t="n"/>
      <c r="Q31" s="419" t="n"/>
      <c r="R31" s="419" t="n"/>
      <c r="S31" s="420" t="n"/>
      <c r="T31" s="373" t="n"/>
      <c r="U31" s="422" t="n"/>
      <c r="V31" s="422" t="n"/>
      <c r="W31" s="422" t="n"/>
      <c r="X31" s="422" t="n"/>
      <c r="Y31" s="422" t="n"/>
      <c r="Z31" s="422" t="n"/>
      <c r="AA31" s="422" t="n"/>
      <c r="AB31" s="422" t="n"/>
      <c r="AC31" s="422" t="n"/>
      <c r="AD31" s="422" t="n"/>
      <c r="AE31" s="423" t="n"/>
      <c r="AF31" s="1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9.949999999999999" customHeight="1">
      <c r="B32" s="62" t="n"/>
      <c r="C32" s="58" t="n"/>
      <c r="D32" s="58" t="n"/>
      <c r="E32" s="58" t="n"/>
      <c r="F32" s="11" t="n"/>
      <c r="G32" s="66" t="n"/>
      <c r="H32" s="66" t="n"/>
      <c r="I32" s="66" t="n"/>
      <c r="J32" s="66" t="n"/>
      <c r="K32" s="66" t="n"/>
      <c r="L32" s="66" t="n"/>
      <c r="M32" s="60" t="n"/>
      <c r="N32" s="72" t="n"/>
      <c r="O32" s="72" t="n"/>
      <c r="P32" s="73" t="n"/>
      <c r="Q32" s="73" t="n"/>
      <c r="R32" s="73" t="n"/>
      <c r="S32" s="73" t="n"/>
      <c r="T32" s="73" t="n"/>
      <c r="U32" s="73" t="n"/>
      <c r="V32" s="73" t="n"/>
      <c r="W32" s="154" t="n"/>
      <c r="X32" s="154" t="n"/>
      <c r="Y32" s="66" t="n"/>
      <c r="Z32" s="66" t="n"/>
      <c r="AA32" s="66" t="n"/>
      <c r="AB32" s="66" t="n"/>
      <c r="AC32" s="66" t="n"/>
      <c r="AD32" s="13" t="n"/>
      <c r="AE32" s="13" t="n"/>
      <c r="AF32" s="1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478">
        <f>IF(Q15="PA",AM3,IF(Q15="MA",AM4,IF(Q15="PI",AM5,IF(Q15="AL",AM6,IF(Q15="RS",AM7,IF(Q15="AP",AM8,IF(Q15="GO",AM9,"O conteúdo deste campo será exibido quando for selecionada a UF")))))))</f>
        <v/>
      </c>
      <c r="D33" s="425" t="n"/>
      <c r="E33" s="425" t="n"/>
      <c r="F33" s="425" t="n"/>
      <c r="G33" s="425" t="n"/>
      <c r="H33" s="425" t="n"/>
      <c r="I33" s="425" t="n"/>
      <c r="J33" s="425" t="n"/>
      <c r="K33" s="425" t="n"/>
      <c r="L33" s="425" t="n"/>
      <c r="M33" s="425" t="n"/>
      <c r="N33" s="426" t="n"/>
      <c r="O33" s="51" t="inlineStr">
        <is>
          <t xml:space="preserve">X = </t>
        </is>
      </c>
      <c r="P33" s="479" t="n">
        <v>-16.641349</v>
      </c>
      <c r="Q33" s="422" t="n"/>
      <c r="R33" s="422" t="n"/>
      <c r="S33" s="422" t="n"/>
      <c r="T33" s="422" t="n"/>
      <c r="U33" s="422" t="n"/>
      <c r="V33" s="422" t="n"/>
      <c r="W33" s="423" t="n"/>
      <c r="X33" s="52" t="inlineStr">
        <is>
          <t>Y =</t>
        </is>
      </c>
      <c r="Y33" s="381" t="n">
        <v>-49.326792</v>
      </c>
      <c r="Z33" s="422" t="n"/>
      <c r="AA33" s="422" t="n"/>
      <c r="AB33" s="422" t="n"/>
      <c r="AC33" s="422" t="n"/>
      <c r="AD33" s="422" t="n"/>
      <c r="AE33" s="423" t="n"/>
      <c r="AF33" s="1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9.949999999999999" customHeight="1" thickBot="1">
      <c r="B34" s="62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5" t="n"/>
      <c r="M34" s="155" t="n"/>
      <c r="N34" s="155" t="n"/>
      <c r="O34" s="155" t="n"/>
      <c r="P34" s="155" t="n"/>
      <c r="Q34" s="155" t="n"/>
      <c r="R34" s="66" t="n"/>
      <c r="S34" s="13" t="n"/>
      <c r="T34" s="13" t="n"/>
      <c r="U34" s="13" t="n"/>
      <c r="V34" s="31" t="n"/>
      <c r="W34" s="155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1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 thickBot="1">
      <c r="B35" s="62" t="n"/>
      <c r="C35" s="461" t="inlineStr">
        <is>
          <t>2. Dados Cadastrais do Responsável Técnico</t>
        </is>
      </c>
      <c r="D35" s="415" t="n"/>
      <c r="E35" s="415" t="n"/>
      <c r="F35" s="415" t="n"/>
      <c r="G35" s="415" t="n"/>
      <c r="H35" s="415" t="n"/>
      <c r="I35" s="415" t="n"/>
      <c r="J35" s="415" t="n"/>
      <c r="K35" s="415" t="n"/>
      <c r="L35" s="415" t="n"/>
      <c r="M35" s="415" t="n"/>
      <c r="N35" s="415" t="n"/>
      <c r="O35" s="415" t="n"/>
      <c r="P35" s="415" t="n"/>
      <c r="Q35" s="415" t="n"/>
      <c r="R35" s="415" t="n"/>
      <c r="S35" s="415" t="n"/>
      <c r="T35" s="415" t="n"/>
      <c r="U35" s="415" t="n"/>
      <c r="V35" s="415" t="n"/>
      <c r="W35" s="415" t="n"/>
      <c r="X35" s="415" t="n"/>
      <c r="Y35" s="415" t="n"/>
      <c r="Z35" s="415" t="n"/>
      <c r="AA35" s="415" t="n"/>
      <c r="AB35" s="415" t="n"/>
      <c r="AC35" s="415" t="n"/>
      <c r="AD35" s="415" t="n"/>
      <c r="AE35" s="416" t="n"/>
      <c r="AF35" s="1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9.949999999999999" customHeight="1">
      <c r="B36" s="62" t="n"/>
      <c r="C36" s="65" t="n"/>
      <c r="D36" s="7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1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306" t="inlineStr">
        <is>
          <t>Nome Completo</t>
        </is>
      </c>
      <c r="D37" s="419" t="n"/>
      <c r="E37" s="419" t="n"/>
      <c r="F37" s="419" t="n"/>
      <c r="G37" s="419" t="n"/>
      <c r="H37" s="419" t="n"/>
      <c r="I37" s="419" t="n"/>
      <c r="J37" s="419" t="n"/>
      <c r="K37" s="420" t="n"/>
      <c r="L37" s="2" t="n"/>
      <c r="M37" s="382" t="inlineStr">
        <is>
          <t>Titulo Profissional</t>
        </is>
      </c>
      <c r="N37" s="419" t="n"/>
      <c r="O37" s="419" t="n"/>
      <c r="P37" s="419" t="n"/>
      <c r="Q37" s="419" t="n"/>
      <c r="R37" s="419" t="n"/>
      <c r="S37" s="419" t="n"/>
      <c r="T37" s="419" t="n"/>
      <c r="U37" s="420" t="n"/>
      <c r="V37" s="66" t="n"/>
      <c r="W37" s="382" t="inlineStr">
        <is>
          <t>Registro Profissional</t>
        </is>
      </c>
      <c r="X37" s="419" t="n"/>
      <c r="Y37" s="419" t="n"/>
      <c r="Z37" s="419" t="n"/>
      <c r="AA37" s="419" t="n"/>
      <c r="AB37" s="419" t="n"/>
      <c r="AC37" s="419" t="n"/>
      <c r="AD37" s="419" t="n"/>
      <c r="AE37" s="420" t="n"/>
      <c r="AF37" s="1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480" t="inlineStr">
        <is>
          <t>Fúlvio Ferreira Borges</t>
        </is>
      </c>
      <c r="D38" s="422" t="n"/>
      <c r="E38" s="422" t="n"/>
      <c r="F38" s="422" t="n"/>
      <c r="G38" s="422" t="n"/>
      <c r="H38" s="422" t="n"/>
      <c r="I38" s="422" t="n"/>
      <c r="J38" s="422" t="n"/>
      <c r="K38" s="423" t="n"/>
      <c r="L38" s="2" t="n"/>
      <c r="M38" s="481" t="inlineStr">
        <is>
          <t>TÉCNICO EM ELETROTÉCNICA</t>
        </is>
      </c>
      <c r="N38" s="422" t="n"/>
      <c r="O38" s="422" t="n"/>
      <c r="P38" s="422" t="n"/>
      <c r="Q38" s="422" t="n"/>
      <c r="R38" s="422" t="n"/>
      <c r="S38" s="422" t="n"/>
      <c r="T38" s="422" t="n"/>
      <c r="U38" s="423" t="n"/>
      <c r="V38" s="8" t="n"/>
      <c r="W38" s="387" t="inlineStr">
        <is>
          <t>Nº</t>
        </is>
      </c>
      <c r="X38" s="420" t="n"/>
      <c r="Y38" s="351" t="n">
        <v>2012721113</v>
      </c>
      <c r="Z38" s="422" t="n"/>
      <c r="AA38" s="422" t="n"/>
      <c r="AB38" s="422" t="n"/>
      <c r="AC38" s="423" t="n"/>
      <c r="AD38" s="387" t="inlineStr">
        <is>
          <t>UF</t>
        </is>
      </c>
      <c r="AE38" s="245" t="inlineStr">
        <is>
          <t>GO</t>
        </is>
      </c>
      <c r="AF38" s="1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9.949999999999999" customHeight="1">
      <c r="B39" s="6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1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306" t="inlineStr">
        <is>
          <t>E-mail</t>
        </is>
      </c>
      <c r="D40" s="419" t="n"/>
      <c r="E40" s="419" t="n"/>
      <c r="F40" s="419" t="n"/>
      <c r="G40" s="419" t="n"/>
      <c r="H40" s="419" t="n"/>
      <c r="I40" s="419" t="n"/>
      <c r="J40" s="419" t="n"/>
      <c r="K40" s="420" t="n"/>
      <c r="L40" s="2" t="n"/>
      <c r="M40" s="382" t="inlineStr">
        <is>
          <t>Telefone Fixo</t>
        </is>
      </c>
      <c r="N40" s="419" t="n"/>
      <c r="O40" s="419" t="n"/>
      <c r="P40" s="419" t="n"/>
      <c r="Q40" s="420" t="n"/>
      <c r="R40" s="67" t="n"/>
      <c r="S40" s="382" t="inlineStr">
        <is>
          <t>Telefone Celular</t>
        </is>
      </c>
      <c r="T40" s="419" t="n"/>
      <c r="U40" s="419" t="n"/>
      <c r="V40" s="419" t="n"/>
      <c r="W40" s="419" t="n"/>
      <c r="X40" s="420" t="n"/>
      <c r="Y40" s="2" t="n"/>
      <c r="Z40" s="382" t="inlineStr">
        <is>
          <t>Fax</t>
        </is>
      </c>
      <c r="AA40" s="419" t="n"/>
      <c r="AB40" s="419" t="n"/>
      <c r="AC40" s="419" t="n"/>
      <c r="AD40" s="419" t="n"/>
      <c r="AE40" s="420" t="n"/>
      <c r="AF40" s="1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482" t="inlineStr">
        <is>
          <t>fulvio@fotonengenharia.com</t>
        </is>
      </c>
      <c r="D41" s="422" t="n"/>
      <c r="E41" s="422" t="n"/>
      <c r="F41" s="422" t="n"/>
      <c r="G41" s="422" t="n"/>
      <c r="H41" s="422" t="n"/>
      <c r="I41" s="422" t="n"/>
      <c r="J41" s="422" t="n"/>
      <c r="K41" s="423" t="n"/>
      <c r="L41" s="2" t="n"/>
      <c r="M41" s="344" t="inlineStr">
        <is>
          <t>624101-1870</t>
        </is>
      </c>
      <c r="N41" s="422" t="n"/>
      <c r="O41" s="422" t="n"/>
      <c r="P41" s="422" t="n"/>
      <c r="Q41" s="423" t="n"/>
      <c r="R41" s="67" t="n"/>
      <c r="S41" s="344" t="inlineStr">
        <is>
          <t>6298556-0258</t>
        </is>
      </c>
      <c r="T41" s="422" t="n"/>
      <c r="U41" s="422" t="n"/>
      <c r="V41" s="422" t="n"/>
      <c r="W41" s="422" t="n"/>
      <c r="X41" s="423" t="n"/>
      <c r="Y41" s="2" t="n"/>
      <c r="Z41" s="344" t="n"/>
      <c r="AA41" s="422" t="n"/>
      <c r="AB41" s="422" t="n"/>
      <c r="AC41" s="422" t="n"/>
      <c r="AD41" s="422" t="n"/>
      <c r="AE41" s="423" t="n"/>
      <c r="AF41" s="1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9.949999999999999" customHeight="1">
      <c r="B42" s="6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1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306" t="inlineStr">
        <is>
          <t>Endereço de Correspondência</t>
        </is>
      </c>
      <c r="D43" s="419" t="n"/>
      <c r="E43" s="419" t="n"/>
      <c r="F43" s="419" t="n"/>
      <c r="G43" s="419" t="n"/>
      <c r="H43" s="419" t="n"/>
      <c r="I43" s="419" t="n"/>
      <c r="J43" s="419" t="n"/>
      <c r="K43" s="420" t="n"/>
      <c r="L43" s="2" t="n"/>
      <c r="M43" s="306" t="inlineStr">
        <is>
          <t>Bairro</t>
        </is>
      </c>
      <c r="N43" s="419" t="n"/>
      <c r="O43" s="420" t="n"/>
      <c r="P43" s="318" t="inlineStr">
        <is>
          <t>Setor Sudoeste</t>
        </is>
      </c>
      <c r="Q43" s="422" t="n"/>
      <c r="R43" s="422" t="n"/>
      <c r="S43" s="422" t="n"/>
      <c r="T43" s="422" t="n"/>
      <c r="U43" s="422" t="n"/>
      <c r="V43" s="422" t="n"/>
      <c r="W43" s="422" t="n"/>
      <c r="X43" s="423" t="n"/>
      <c r="Y43" s="2" t="n"/>
      <c r="Z43" s="325" t="inlineStr">
        <is>
          <t>UF:</t>
        </is>
      </c>
      <c r="AA43" s="420" t="n"/>
      <c r="AB43" s="483" t="inlineStr">
        <is>
          <t>GO</t>
        </is>
      </c>
      <c r="AC43" s="422" t="n"/>
      <c r="AD43" s="422" t="n"/>
      <c r="AE43" s="423" t="n"/>
      <c r="AF43" s="1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462" t="inlineStr">
        <is>
          <t>Rua C-52, Qd. 57, Lt. 02</t>
        </is>
      </c>
      <c r="D44" s="422" t="n"/>
      <c r="E44" s="422" t="n"/>
      <c r="F44" s="422" t="n"/>
      <c r="G44" s="422" t="n"/>
      <c r="H44" s="422" t="n"/>
      <c r="I44" s="422" t="n"/>
      <c r="J44" s="422" t="n"/>
      <c r="K44" s="423" t="n"/>
      <c r="L44" s="2" t="n"/>
      <c r="M44" s="325" t="inlineStr">
        <is>
          <t>Município</t>
        </is>
      </c>
      <c r="N44" s="419" t="n"/>
      <c r="O44" s="420" t="n"/>
      <c r="P44" s="318" t="inlineStr">
        <is>
          <t>Goiânia</t>
        </is>
      </c>
      <c r="Q44" s="422" t="n"/>
      <c r="R44" s="422" t="n"/>
      <c r="S44" s="422" t="n"/>
      <c r="T44" s="422" t="n"/>
      <c r="U44" s="422" t="n"/>
      <c r="V44" s="422" t="n"/>
      <c r="W44" s="422" t="n"/>
      <c r="X44" s="423" t="n"/>
      <c r="Y44" s="2" t="n"/>
      <c r="Z44" s="325" t="inlineStr">
        <is>
          <t>CEP:</t>
        </is>
      </c>
      <c r="AA44" s="420" t="n"/>
      <c r="AB44" s="470" t="inlineStr">
        <is>
          <t>74305-310</t>
        </is>
      </c>
      <c r="AC44" s="422" t="n"/>
      <c r="AD44" s="422" t="n"/>
      <c r="AE44" s="423" t="n"/>
      <c r="AF44" s="1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9.949999999999999" customHeight="1" thickBot="1">
      <c r="B45" s="62" t="n"/>
      <c r="C45" s="155" t="n"/>
      <c r="D45" s="32" t="n"/>
      <c r="E45" s="32" t="n"/>
      <c r="F45" s="12" t="n"/>
      <c r="G45" s="12" t="n"/>
      <c r="H45" s="12" t="n"/>
      <c r="I45" s="12" t="n"/>
      <c r="J45" s="13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1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 thickBot="1">
      <c r="B46" s="62" t="n"/>
      <c r="C46" s="461" t="inlineStr">
        <is>
          <t>3. Características da Microgeração Distribuída</t>
        </is>
      </c>
      <c r="D46" s="415" t="n"/>
      <c r="E46" s="415" t="n"/>
      <c r="F46" s="415" t="n"/>
      <c r="G46" s="415" t="n"/>
      <c r="H46" s="415" t="n"/>
      <c r="I46" s="415" t="n"/>
      <c r="J46" s="415" t="n"/>
      <c r="K46" s="415" t="n"/>
      <c r="L46" s="415" t="n"/>
      <c r="M46" s="415" t="n"/>
      <c r="N46" s="415" t="n"/>
      <c r="O46" s="415" t="n"/>
      <c r="P46" s="415" t="n"/>
      <c r="Q46" s="415" t="n"/>
      <c r="R46" s="415" t="n"/>
      <c r="S46" s="415" t="n"/>
      <c r="T46" s="415" t="n"/>
      <c r="U46" s="415" t="n"/>
      <c r="V46" s="415" t="n"/>
      <c r="W46" s="415" t="n"/>
      <c r="X46" s="415" t="n"/>
      <c r="Y46" s="415" t="n"/>
      <c r="Z46" s="415" t="n"/>
      <c r="AA46" s="415" t="n"/>
      <c r="AB46" s="415" t="n"/>
      <c r="AC46" s="415" t="n"/>
      <c r="AD46" s="415" t="n"/>
      <c r="AE46" s="416" t="n"/>
      <c r="AF46" s="1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329" t="inlineStr">
        <is>
          <t>Dados Gerais da Central Geradora</t>
        </is>
      </c>
      <c r="D47" s="451" t="n"/>
      <c r="E47" s="451" t="n"/>
      <c r="F47" s="451" t="n"/>
      <c r="G47" s="451" t="n"/>
      <c r="H47" s="451" t="n"/>
      <c r="I47" s="451" t="n"/>
      <c r="J47" s="451" t="n"/>
      <c r="K47" s="451" t="n"/>
      <c r="L47" s="451" t="n"/>
      <c r="M47" s="451" t="n"/>
      <c r="N47" s="451" t="n"/>
      <c r="O47" s="451" t="n"/>
      <c r="P47" s="451" t="n"/>
      <c r="Q47" s="451" t="n"/>
      <c r="R47" s="451" t="n"/>
      <c r="S47" s="451" t="n"/>
      <c r="T47" s="451" t="n"/>
      <c r="U47" s="451" t="n"/>
      <c r="V47" s="451" t="n"/>
      <c r="W47" s="451" t="n"/>
      <c r="X47" s="451" t="n"/>
      <c r="Y47" s="451" t="n"/>
      <c r="Z47" s="451" t="n"/>
      <c r="AA47" s="451" t="n"/>
      <c r="AB47" s="451" t="n"/>
      <c r="AC47" s="451" t="n"/>
      <c r="AD47" s="451" t="n"/>
      <c r="AE47" s="451" t="n"/>
      <c r="AF47" s="1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9.949999999999999" customHeight="1">
      <c r="B48" s="62" t="n"/>
      <c r="C48" s="2" t="n"/>
      <c r="D48" s="2" t="n"/>
      <c r="E48" s="8" t="n"/>
      <c r="F48" s="8" t="n"/>
      <c r="G48" s="8" t="n"/>
      <c r="H48" s="8" t="n"/>
      <c r="I48" s="2" t="n"/>
      <c r="J48" s="2" t="n"/>
      <c r="K48" s="2" t="n"/>
      <c r="L48" s="2" t="n"/>
      <c r="M48" s="8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8" t="n"/>
      <c r="AA48" s="8" t="n"/>
      <c r="AB48" s="454" t="n"/>
      <c r="AC48" s="454" t="n"/>
      <c r="AD48" s="454" t="n"/>
      <c r="AE48" s="454" t="n"/>
      <c r="AF48" s="1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306" t="inlineStr">
        <is>
          <t>Tipo de Fonte Primária (selecionar)</t>
        </is>
      </c>
      <c r="D49" s="419" t="n"/>
      <c r="E49" s="419" t="n"/>
      <c r="F49" s="420" t="n"/>
      <c r="G49" s="480" t="inlineStr">
        <is>
          <t>SOLAR FOTOVOLTAICA</t>
        </is>
      </c>
      <c r="H49" s="422" t="n"/>
      <c r="I49" s="422" t="n"/>
      <c r="J49" s="422" t="n"/>
      <c r="K49" s="422" t="n"/>
      <c r="L49" s="422" t="n"/>
      <c r="M49" s="422" t="n"/>
      <c r="N49" s="422" t="n"/>
      <c r="O49" s="423" t="n"/>
      <c r="Q49" s="306" t="inlineStr">
        <is>
          <t>Especificar se necessário</t>
        </is>
      </c>
      <c r="R49" s="419" t="n"/>
      <c r="S49" s="419" t="n"/>
      <c r="T49" s="419" t="n"/>
      <c r="U49" s="420" t="n"/>
      <c r="V49" s="344" t="n"/>
      <c r="W49" s="422" t="n"/>
      <c r="X49" s="422" t="n"/>
      <c r="Y49" s="422" t="n"/>
      <c r="Z49" s="422" t="n"/>
      <c r="AA49" s="422" t="n"/>
      <c r="AB49" s="422" t="n"/>
      <c r="AC49" s="422" t="n"/>
      <c r="AD49" s="422" t="n"/>
      <c r="AE49" s="423" t="n"/>
      <c r="AF49" s="1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9.949999999999999" customHeight="1">
      <c r="B50" s="62" t="n"/>
      <c r="C50" s="2" t="n"/>
      <c r="D50" s="2" t="n"/>
      <c r="E50" s="8" t="n"/>
      <c r="F50" s="8" t="n"/>
      <c r="G50" s="8" t="n"/>
      <c r="H50" s="8" t="n"/>
      <c r="I50" s="2" t="n"/>
      <c r="J50" s="2" t="n"/>
      <c r="K50" s="2" t="n"/>
      <c r="L50" s="2" t="n"/>
      <c r="M50" s="8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8" t="n"/>
      <c r="AA50" s="8" t="n"/>
      <c r="AB50" s="454" t="n"/>
      <c r="AC50" s="454" t="n"/>
      <c r="AD50" s="454" t="n"/>
      <c r="AE50" s="454" t="n"/>
      <c r="AF50" s="1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306" t="inlineStr">
        <is>
          <t>Tipo de Geração (selecionar)</t>
        </is>
      </c>
      <c r="D51" s="419" t="n"/>
      <c r="E51" s="419" t="n"/>
      <c r="F51" s="420" t="n"/>
      <c r="G51" s="480" t="inlineStr">
        <is>
          <t>EMPREGANDO CONVERSOR ELETRÔNICO/INVERSOR</t>
        </is>
      </c>
      <c r="H51" s="422" t="n"/>
      <c r="I51" s="422" t="n"/>
      <c r="J51" s="422" t="n"/>
      <c r="K51" s="422" t="n"/>
      <c r="L51" s="422" t="n"/>
      <c r="M51" s="422" t="n"/>
      <c r="N51" s="422" t="n"/>
      <c r="O51" s="423" t="n"/>
      <c r="Q51" s="306" t="inlineStr">
        <is>
          <t>Especificar se necessário</t>
        </is>
      </c>
      <c r="R51" s="419" t="n"/>
      <c r="S51" s="419" t="n"/>
      <c r="T51" s="419" t="n"/>
      <c r="U51" s="420" t="n"/>
      <c r="V51" s="344" t="n"/>
      <c r="W51" s="422" t="n"/>
      <c r="X51" s="422" t="n"/>
      <c r="Y51" s="422" t="n"/>
      <c r="Z51" s="422" t="n"/>
      <c r="AA51" s="422" t="n"/>
      <c r="AB51" s="422" t="n"/>
      <c r="AC51" s="422" t="n"/>
      <c r="AD51" s="422" t="n"/>
      <c r="AE51" s="423" t="n"/>
      <c r="AF51" s="1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9.949999999999999" customHeight="1">
      <c r="B52" s="62" t="n"/>
      <c r="C52" s="2" t="n"/>
      <c r="D52" s="2" t="n"/>
      <c r="E52" s="8" t="n"/>
      <c r="F52" s="8" t="n"/>
      <c r="G52" s="8" t="n"/>
      <c r="H52" s="8" t="n"/>
      <c r="I52" s="2" t="n"/>
      <c r="J52" s="2" t="n"/>
      <c r="K52" s="2" t="n"/>
      <c r="L52" s="2" t="n"/>
      <c r="M52" s="8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8" t="n"/>
      <c r="AA52" s="8" t="n"/>
      <c r="AB52" s="454" t="n"/>
      <c r="AC52" s="454" t="n"/>
      <c r="AD52" s="454" t="n"/>
      <c r="AE52" s="454" t="n"/>
      <c r="AF52" s="1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20.1" customHeight="1">
      <c r="B53" s="62" t="n"/>
      <c r="C53" s="306" t="inlineStr">
        <is>
          <t>Modalidade de Compensação (selecionar)</t>
        </is>
      </c>
      <c r="D53" s="419" t="n"/>
      <c r="E53" s="419" t="n"/>
      <c r="F53" s="419" t="n"/>
      <c r="G53" s="419" t="n"/>
      <c r="H53" s="420" t="n"/>
      <c r="I53" s="475" t="inlineStr">
        <is>
          <t>AUTOCONSUMO REMOTO</t>
        </is>
      </c>
      <c r="J53" s="422" t="n"/>
      <c r="K53" s="422" t="n"/>
      <c r="L53" s="422" t="n"/>
      <c r="M53" s="422" t="n"/>
      <c r="N53" s="422" t="n"/>
      <c r="O53" s="422" t="n"/>
      <c r="P53" s="422" t="n"/>
      <c r="Q53" s="422" t="n"/>
      <c r="R53" s="422" t="n"/>
      <c r="S53" s="422" t="n"/>
      <c r="T53" s="422" t="n"/>
      <c r="U53" s="423" t="n"/>
      <c r="V53" s="68" t="n"/>
      <c r="W53" s="306" t="inlineStr">
        <is>
          <t>Potência Geração do Orçamento</t>
        </is>
      </c>
      <c r="X53" s="419" t="n"/>
      <c r="Y53" s="419" t="n"/>
      <c r="Z53" s="419" t="n"/>
      <c r="AA53" s="419" t="n"/>
      <c r="AB53" s="420" t="n"/>
      <c r="AC53" s="308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/>
      </c>
      <c r="AD53" s="420" t="n"/>
      <c r="AE53" s="106" t="inlineStr">
        <is>
          <t>kW</t>
        </is>
      </c>
      <c r="AF53" s="75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A54" s="76" t="n"/>
      <c r="B54" s="62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68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5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309">
        <f>IF(I53="","",IF(I53="AUTOCONSUMO LOCAL","NÃO É NECESSÁRIO PREENCHER A LISTA DE RATEIO","PREENCHER LISTA DE RATEIO DE CLIENTES NA GUIA 2 (OPCIONAL)"))</f>
        <v/>
      </c>
      <c r="D55" s="419" t="n"/>
      <c r="E55" s="419" t="n"/>
      <c r="F55" s="419" t="n"/>
      <c r="G55" s="419" t="n"/>
      <c r="H55" s="419" t="n"/>
      <c r="I55" s="419" t="n"/>
      <c r="J55" s="419" t="n"/>
      <c r="K55" s="419" t="n"/>
      <c r="L55" s="419" t="n"/>
      <c r="M55" s="419" t="n"/>
      <c r="N55" s="419" t="n"/>
      <c r="O55" s="419" t="n"/>
      <c r="P55" s="419" t="n"/>
      <c r="Q55" s="419" t="n"/>
      <c r="R55" s="419" t="n"/>
      <c r="S55" s="419" t="n"/>
      <c r="T55" s="419" t="n"/>
      <c r="U55" s="420" t="n"/>
      <c r="V55" s="68" t="n"/>
      <c r="W55" s="306" t="inlineStr">
        <is>
          <t>Potência Geração Total da UC(PGT)</t>
        </is>
      </c>
      <c r="X55" s="419" t="n"/>
      <c r="Y55" s="419" t="n"/>
      <c r="Z55" s="419" t="n"/>
      <c r="AA55" s="419" t="n"/>
      <c r="AB55" s="420" t="n"/>
      <c r="AC55" s="308">
        <f>IFERROR(AC21+AC53,"")</f>
        <v/>
      </c>
      <c r="AD55" s="420" t="n"/>
      <c r="AE55" s="106" t="inlineStr">
        <is>
          <t>kW</t>
        </is>
      </c>
      <c r="AF55" s="75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9.949999999999999" customHeight="1">
      <c r="A56" s="76" t="n"/>
      <c r="B56" s="62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112" t="n"/>
      <c r="Q56" s="76" t="n"/>
      <c r="R56" s="76" t="n"/>
      <c r="S56" s="76" t="n"/>
      <c r="T56" s="76" t="n"/>
      <c r="U56" s="76" t="n"/>
      <c r="V56" s="68" t="n"/>
      <c r="W56" s="72" t="n"/>
      <c r="X56" s="72" t="n"/>
      <c r="Y56" s="72" t="n"/>
      <c r="Z56" s="72" t="n"/>
      <c r="AA56" s="72" t="n"/>
      <c r="AB56" s="72" t="n"/>
      <c r="AC56" s="72" t="n"/>
      <c r="AD56" s="72" t="n"/>
      <c r="AE56" s="72" t="n"/>
      <c r="AF56" s="75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20.1" customHeight="1">
      <c r="A57" s="76" t="n"/>
      <c r="B57" s="62" t="n"/>
      <c r="C57" s="306" t="inlineStr">
        <is>
          <t>Armazenamento (se houver)</t>
        </is>
      </c>
      <c r="D57" s="419" t="n"/>
      <c r="E57" s="420" t="n"/>
      <c r="F57" s="484" t="n"/>
      <c r="G57" s="477" t="n"/>
      <c r="H57" s="477" t="n"/>
      <c r="I57" s="477" t="n"/>
      <c r="J57" s="477" t="n"/>
      <c r="K57" s="477" t="n"/>
      <c r="L57" s="477" t="n"/>
      <c r="M57" s="477" t="n"/>
      <c r="N57" s="477" t="n"/>
      <c r="O57" s="477" t="n"/>
      <c r="P57" s="477" t="n"/>
      <c r="Q57" s="477" t="n"/>
      <c r="R57" s="477" t="n"/>
      <c r="S57" s="477" t="n"/>
      <c r="T57" s="477" t="n"/>
      <c r="U57" s="485" t="n"/>
      <c r="V57" s="486" t="n"/>
      <c r="W57" s="242" t="inlineStr">
        <is>
          <t>Potência Máxima Injetável (se aplicável)</t>
        </is>
      </c>
      <c r="X57" s="419" t="n"/>
      <c r="Y57" s="419" t="n"/>
      <c r="Z57" s="419" t="n"/>
      <c r="AA57" s="419" t="n"/>
      <c r="AB57" s="420" t="n"/>
      <c r="AC57" s="316" t="n"/>
      <c r="AD57" s="423" t="n"/>
      <c r="AE57" s="106" t="inlineStr">
        <is>
          <t>kW</t>
        </is>
      </c>
      <c r="AF57" s="1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9.949999999999999" customHeight="1">
      <c r="B58" s="62" t="n"/>
      <c r="C58" s="50" t="n"/>
      <c r="D58" s="276" t="n"/>
      <c r="E58" s="276" t="n"/>
      <c r="F58" s="276" t="n"/>
      <c r="G58" s="276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49" t="n"/>
      <c r="Y58" s="49" t="n"/>
      <c r="Z58" s="49" t="n"/>
      <c r="AA58" s="49" t="n"/>
      <c r="AB58" s="49" t="n"/>
      <c r="AC58" s="49" t="n"/>
      <c r="AD58" s="49" t="n"/>
      <c r="AE58" s="49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A59" s="76" t="n"/>
      <c r="B59" s="6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111" t="n"/>
      <c r="Q59" s="382" t="inlineStr">
        <is>
          <t>Data Início de Operação</t>
        </is>
      </c>
      <c r="R59" s="419" t="n"/>
      <c r="S59" s="419" t="n"/>
      <c r="T59" s="420" t="n"/>
      <c r="U59" s="313" t="n">
        <v>45891</v>
      </c>
      <c r="V59" s="477" t="n"/>
      <c r="W59" s="485" t="n"/>
      <c r="Y59" s="314">
        <f>IF(OR(AB29="",AC55=""),"",IF(AC55&lt;=75,IF(AC55&lt;=AB29,"OK: PGT ≤ PD","NOK: PGT &gt; PD"),"PGT ACIMA DO LIMITE DO GRUPO B"))</f>
        <v/>
      </c>
      <c r="Z59" s="425" t="n"/>
      <c r="AA59" s="425" t="n"/>
      <c r="AB59" s="425" t="n"/>
      <c r="AC59" s="425" t="n"/>
      <c r="AD59" s="425" t="n"/>
      <c r="AE59" s="426" t="n"/>
      <c r="AF59" s="1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9.949999999999999" customHeight="1" thickBot="1">
      <c r="B60" s="62" t="n"/>
      <c r="C60" s="50" t="n"/>
      <c r="D60" s="276" t="n"/>
      <c r="E60" s="276" t="n"/>
      <c r="F60" s="276" t="n"/>
      <c r="G60" s="276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49" t="n"/>
      <c r="Y60" s="49" t="n"/>
      <c r="Z60" s="49" t="n"/>
      <c r="AA60" s="49" t="n"/>
      <c r="AB60" s="49" t="n"/>
      <c r="AC60" s="49" t="n"/>
      <c r="AD60" s="49" t="n"/>
      <c r="AE60" s="49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 thickBot="1">
      <c r="B61" s="62" t="n"/>
      <c r="C61" s="461" t="inlineStr">
        <is>
          <t>4. Documentos necessários que devem ser anexados à Solicitação de Orçamento de Conexão:</t>
        </is>
      </c>
      <c r="D61" s="415" t="n"/>
      <c r="E61" s="415" t="n"/>
      <c r="F61" s="415" t="n"/>
      <c r="G61" s="415" t="n"/>
      <c r="H61" s="415" t="n"/>
      <c r="I61" s="415" t="n"/>
      <c r="J61" s="415" t="n"/>
      <c r="K61" s="415" t="n"/>
      <c r="L61" s="415" t="n"/>
      <c r="M61" s="415" t="n"/>
      <c r="N61" s="415" t="n"/>
      <c r="O61" s="415" t="n"/>
      <c r="P61" s="415" t="n"/>
      <c r="Q61" s="415" t="n"/>
      <c r="R61" s="415" t="n"/>
      <c r="S61" s="415" t="n"/>
      <c r="T61" s="415" t="n"/>
      <c r="U61" s="415" t="n"/>
      <c r="V61" s="415" t="n"/>
      <c r="W61" s="415" t="n"/>
      <c r="X61" s="415" t="n"/>
      <c r="Y61" s="415" t="n"/>
      <c r="Z61" s="415" t="n"/>
      <c r="AA61" s="415" t="n"/>
      <c r="AB61" s="415" t="n"/>
      <c r="AC61" s="415" t="n"/>
      <c r="AD61" s="415" t="n"/>
      <c r="AE61" s="416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9.949999999999999" customHeight="1">
      <c r="B62" s="62" t="n"/>
      <c r="C62" s="487" t="n"/>
      <c r="D62" s="154" t="n"/>
      <c r="E62" s="154" t="n"/>
      <c r="F62" s="154" t="n"/>
      <c r="G62" s="58" t="n"/>
      <c r="H62" s="154" t="n"/>
      <c r="I62" s="154" t="n"/>
      <c r="J62" s="154" t="n"/>
      <c r="K62" s="154" t="n"/>
      <c r="L62" s="154" t="n"/>
      <c r="M62" s="154" t="n"/>
      <c r="N62" s="2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15" customHeight="1">
      <c r="B63" s="62" t="n"/>
      <c r="C63" s="77" t="inlineStr">
        <is>
          <t>Descrição</t>
        </is>
      </c>
      <c r="D63" s="419" t="n"/>
      <c r="E63" s="419" t="n"/>
      <c r="F63" s="419" t="n"/>
      <c r="G63" s="419" t="n"/>
      <c r="H63" s="419" t="n"/>
      <c r="I63" s="419" t="n"/>
      <c r="J63" s="419" t="n"/>
      <c r="K63" s="419" t="n"/>
      <c r="L63" s="419" t="n"/>
      <c r="M63" s="419" t="n"/>
      <c r="N63" s="419" t="n"/>
      <c r="O63" s="419" t="n"/>
      <c r="P63" s="419" t="n"/>
      <c r="Q63" s="419" t="n"/>
      <c r="R63" s="419" t="n"/>
      <c r="S63" s="419" t="n"/>
      <c r="T63" s="419" t="n"/>
      <c r="U63" s="420" t="n"/>
      <c r="V63" s="302" t="inlineStr">
        <is>
          <t>Observações</t>
        </is>
      </c>
      <c r="W63" s="419" t="n"/>
      <c r="X63" s="419" t="n"/>
      <c r="Y63" s="419" t="n"/>
      <c r="Z63" s="419" t="n"/>
      <c r="AA63" s="419" t="n"/>
      <c r="AB63" s="419" t="n"/>
      <c r="AC63" s="419" t="n"/>
      <c r="AD63" s="419" t="n"/>
      <c r="AE63" s="420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39.95" customHeight="1">
      <c r="B64" s="62" t="n"/>
      <c r="C64" s="488" t="inlineStr">
        <is>
      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      </is>
      </c>
      <c r="D64" s="419" t="n"/>
      <c r="E64" s="419" t="n"/>
      <c r="F64" s="419" t="n"/>
      <c r="G64" s="419" t="n"/>
      <c r="H64" s="419" t="n"/>
      <c r="I64" s="419" t="n"/>
      <c r="J64" s="419" t="n"/>
      <c r="K64" s="419" t="n"/>
      <c r="L64" s="419" t="n"/>
      <c r="M64" s="419" t="n"/>
      <c r="N64" s="419" t="n"/>
      <c r="O64" s="419" t="n"/>
      <c r="P64" s="419" t="n"/>
      <c r="Q64" s="419" t="n"/>
      <c r="R64" s="419" t="n"/>
      <c r="S64" s="419" t="n"/>
      <c r="T64" s="419" t="n"/>
      <c r="U64" s="420" t="n"/>
      <c r="V64" s="255" t="n"/>
      <c r="W64" s="419" t="n"/>
      <c r="X64" s="419" t="n"/>
      <c r="Y64" s="419" t="n"/>
      <c r="Z64" s="419" t="n"/>
      <c r="AA64" s="419" t="n"/>
      <c r="AB64" s="419" t="n"/>
      <c r="AC64" s="419" t="n"/>
      <c r="AD64" s="419" t="n"/>
      <c r="AE64" s="420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488" t="inlineStr">
        <is>
          <t>2. Indicação do local do padrão ou da subestação de entrada no imóvel, exclusivamente nos casos em que ainda não estiverem instalados</t>
        </is>
      </c>
      <c r="D65" s="419" t="n"/>
      <c r="E65" s="419" t="n"/>
      <c r="F65" s="419" t="n"/>
      <c r="G65" s="419" t="n"/>
      <c r="H65" s="419" t="n"/>
      <c r="I65" s="419" t="n"/>
      <c r="J65" s="419" t="n"/>
      <c r="K65" s="419" t="n"/>
      <c r="L65" s="419" t="n"/>
      <c r="M65" s="419" t="n"/>
      <c r="N65" s="419" t="n"/>
      <c r="O65" s="419" t="n"/>
      <c r="P65" s="419" t="n"/>
      <c r="Q65" s="419" t="n"/>
      <c r="R65" s="419" t="n"/>
      <c r="S65" s="419" t="n"/>
      <c r="T65" s="419" t="n"/>
      <c r="U65" s="420" t="n"/>
      <c r="V65" s="255" t="n"/>
      <c r="W65" s="419" t="n"/>
      <c r="X65" s="419" t="n"/>
      <c r="Y65" s="419" t="n"/>
      <c r="Z65" s="419" t="n"/>
      <c r="AA65" s="419" t="n"/>
      <c r="AB65" s="419" t="n"/>
      <c r="AC65" s="419" t="n"/>
      <c r="AD65" s="419" t="n"/>
      <c r="AE65" s="420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488" t="inlineStr">
        <is>
          <t>3. Diagrama unifilar e de blocos do sistema de geração, carga e proteção</t>
        </is>
      </c>
      <c r="D66" s="419" t="n"/>
      <c r="E66" s="419" t="n"/>
      <c r="F66" s="419" t="n"/>
      <c r="G66" s="419" t="n"/>
      <c r="H66" s="419" t="n"/>
      <c r="I66" s="419" t="n"/>
      <c r="J66" s="419" t="n"/>
      <c r="K66" s="419" t="n"/>
      <c r="L66" s="419" t="n"/>
      <c r="M66" s="419" t="n"/>
      <c r="N66" s="419" t="n"/>
      <c r="O66" s="419" t="n"/>
      <c r="P66" s="419" t="n"/>
      <c r="Q66" s="419" t="n"/>
      <c r="R66" s="419" t="n"/>
      <c r="S66" s="419" t="n"/>
      <c r="T66" s="419" t="n"/>
      <c r="U66" s="420" t="n"/>
      <c r="V66" s="255" t="n"/>
      <c r="W66" s="419" t="n"/>
      <c r="X66" s="419" t="n"/>
      <c r="Y66" s="419" t="n"/>
      <c r="Z66" s="419" t="n"/>
      <c r="AA66" s="419" t="n"/>
      <c r="AB66" s="419" t="n"/>
      <c r="AC66" s="419" t="n"/>
      <c r="AD66" s="419" t="n"/>
      <c r="AE66" s="420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488" t="inlineStr">
        <is>
          <t>4. Memorial Técnico Descritivo da instalação (Conforme Modelo do ANEXO III - MODELO DE MEMORIAL TÉCNICO DESCRITIVO)</t>
        </is>
      </c>
      <c r="D67" s="419" t="n"/>
      <c r="E67" s="419" t="n"/>
      <c r="F67" s="419" t="n"/>
      <c r="G67" s="419" t="n"/>
      <c r="H67" s="419" t="n"/>
      <c r="I67" s="419" t="n"/>
      <c r="J67" s="419" t="n"/>
      <c r="K67" s="419" t="n"/>
      <c r="L67" s="419" t="n"/>
      <c r="M67" s="419" t="n"/>
      <c r="N67" s="419" t="n"/>
      <c r="O67" s="419" t="n"/>
      <c r="P67" s="419" t="n"/>
      <c r="Q67" s="419" t="n"/>
      <c r="R67" s="419" t="n"/>
      <c r="S67" s="419" t="n"/>
      <c r="T67" s="419" t="n"/>
      <c r="U67" s="420" t="n"/>
      <c r="V67" s="255" t="n"/>
      <c r="W67" s="419" t="n"/>
      <c r="X67" s="419" t="n"/>
      <c r="Y67" s="419" t="n"/>
      <c r="Z67" s="419" t="n"/>
      <c r="AA67" s="419" t="n"/>
      <c r="AB67" s="419" t="n"/>
      <c r="AC67" s="419" t="n"/>
      <c r="AD67" s="419" t="n"/>
      <c r="AE67" s="420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30" customHeight="1">
      <c r="B68" s="62" t="n"/>
      <c r="C68" s="488" t="inlineStr">
        <is>
          <t>5. Relatório de ensaio, em língua portuguesa, atestando a conformidade de todos os conversores de potência para a tensão nominal de conexão com a rede, sempre que houver a utilização de conversores.</t>
        </is>
      </c>
      <c r="D68" s="419" t="n"/>
      <c r="E68" s="419" t="n"/>
      <c r="F68" s="419" t="n"/>
      <c r="G68" s="419" t="n"/>
      <c r="H68" s="419" t="n"/>
      <c r="I68" s="419" t="n"/>
      <c r="J68" s="419" t="n"/>
      <c r="K68" s="419" t="n"/>
      <c r="L68" s="419" t="n"/>
      <c r="M68" s="419" t="n"/>
      <c r="N68" s="419" t="n"/>
      <c r="O68" s="419" t="n"/>
      <c r="P68" s="419" t="n"/>
      <c r="Q68" s="419" t="n"/>
      <c r="R68" s="419" t="n"/>
      <c r="S68" s="419" t="n"/>
      <c r="T68" s="419" t="n"/>
      <c r="U68" s="420" t="n"/>
      <c r="V68" s="255" t="n"/>
      <c r="W68" s="419" t="n"/>
      <c r="X68" s="419" t="n"/>
      <c r="Y68" s="419" t="n"/>
      <c r="Z68" s="419" t="n"/>
      <c r="AA68" s="419" t="n"/>
      <c r="AB68" s="419" t="n"/>
      <c r="AC68" s="419" t="n"/>
      <c r="AD68" s="419" t="n"/>
      <c r="AE68" s="420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20.1" customHeight="1">
      <c r="B69" s="62" t="n"/>
      <c r="C69" s="488" t="inlineStr">
        <is>
          <t>6. Dados necessários ao registro da central geradora distribuída conforme disponível no site da ANEEL.</t>
        </is>
      </c>
      <c r="D69" s="419" t="n"/>
      <c r="E69" s="419" t="n"/>
      <c r="F69" s="419" t="n"/>
      <c r="G69" s="419" t="n"/>
      <c r="H69" s="419" t="n"/>
      <c r="I69" s="419" t="n"/>
      <c r="J69" s="419" t="n"/>
      <c r="K69" s="419" t="n"/>
      <c r="L69" s="419" t="n"/>
      <c r="M69" s="419" t="n"/>
      <c r="N69" s="419" t="n"/>
      <c r="O69" s="419" t="n"/>
      <c r="P69" s="419" t="n"/>
      <c r="Q69" s="419" t="n"/>
      <c r="R69" s="419" t="n"/>
      <c r="S69" s="419" t="n"/>
      <c r="T69" s="419" t="n"/>
      <c r="U69" s="420" t="n"/>
      <c r="V69" s="255" t="n"/>
      <c r="W69" s="419" t="n"/>
      <c r="X69" s="419" t="n"/>
      <c r="Y69" s="419" t="n"/>
      <c r="Z69" s="419" t="n"/>
      <c r="AA69" s="419" t="n"/>
      <c r="AB69" s="419" t="n"/>
      <c r="AC69" s="419" t="n"/>
      <c r="AD69" s="419" t="n"/>
      <c r="AE69" s="420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30" customHeight="1">
      <c r="B70" s="62" t="n"/>
      <c r="C70" s="488" t="inlineStr">
        <is>
          <t>7. Lista de unidades consumidoras participantes do sistema de compensação (se houver), indicando o percentual ou a ordem de utilização dos excedentes. (PLANILHA NA GUIA 2)</t>
        </is>
      </c>
      <c r="D70" s="419" t="n"/>
      <c r="E70" s="419" t="n"/>
      <c r="F70" s="419" t="n"/>
      <c r="G70" s="419" t="n"/>
      <c r="H70" s="419" t="n"/>
      <c r="I70" s="419" t="n"/>
      <c r="J70" s="419" t="n"/>
      <c r="K70" s="419" t="n"/>
      <c r="L70" s="419" t="n"/>
      <c r="M70" s="419" t="n"/>
      <c r="N70" s="419" t="n"/>
      <c r="O70" s="419" t="n"/>
      <c r="P70" s="419" t="n"/>
      <c r="Q70" s="419" t="n"/>
      <c r="R70" s="419" t="n"/>
      <c r="S70" s="419" t="n"/>
      <c r="T70" s="419" t="n"/>
      <c r="U70" s="420" t="n"/>
      <c r="V70" s="255" t="inlineStr">
        <is>
          <t>Para autoconsumo remoto, geração compartilhada e empreendimento de múltiplas unidades consumidoras</t>
        </is>
      </c>
      <c r="W70" s="419" t="n"/>
      <c r="X70" s="419" t="n"/>
      <c r="Y70" s="419" t="n"/>
      <c r="Z70" s="419" t="n"/>
      <c r="AA70" s="419" t="n"/>
      <c r="AB70" s="419" t="n"/>
      <c r="AC70" s="419" t="n"/>
      <c r="AD70" s="419" t="n"/>
      <c r="AE70" s="420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30" customHeight="1">
      <c r="B71" s="62" t="n"/>
      <c r="C71" s="488" t="inlineStr">
        <is>
          <t>8. Cópia de instrumento jurídico que comprove a participação dos integrantes para os casos de múltiplas unidades consumidoras e geração compartilhada. (Caso aplicável)</t>
        </is>
      </c>
      <c r="D71" s="419" t="n"/>
      <c r="E71" s="419" t="n"/>
      <c r="F71" s="419" t="n"/>
      <c r="G71" s="419" t="n"/>
      <c r="H71" s="419" t="n"/>
      <c r="I71" s="419" t="n"/>
      <c r="J71" s="419" t="n"/>
      <c r="K71" s="419" t="n"/>
      <c r="L71" s="419" t="n"/>
      <c r="M71" s="419" t="n"/>
      <c r="N71" s="419" t="n"/>
      <c r="O71" s="419" t="n"/>
      <c r="P71" s="419" t="n"/>
      <c r="Q71" s="419" t="n"/>
      <c r="R71" s="419" t="n"/>
      <c r="S71" s="419" t="n"/>
      <c r="T71" s="419" t="n"/>
      <c r="U71" s="420" t="n"/>
      <c r="V71" s="255" t="inlineStr">
        <is>
          <t>Apenas para os casos de empreendimentos com múltiplas unidades consumidoras e geração compartilhada.</t>
        </is>
      </c>
      <c r="W71" s="419" t="n"/>
      <c r="X71" s="419" t="n"/>
      <c r="Y71" s="419" t="n"/>
      <c r="Z71" s="419" t="n"/>
      <c r="AA71" s="419" t="n"/>
      <c r="AB71" s="419" t="n"/>
      <c r="AC71" s="419" t="n"/>
      <c r="AD71" s="419" t="n"/>
      <c r="AE71" s="420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20.1" customHeight="1">
      <c r="B72" s="62" t="n"/>
      <c r="C72" s="488" t="inlineStr">
        <is>
          <t>9. Documento que comprove o reconhecimento pela ANEEL, da cogeração qualificada (se houver)</t>
        </is>
      </c>
      <c r="D72" s="419" t="n"/>
      <c r="E72" s="419" t="n"/>
      <c r="F72" s="419" t="n"/>
      <c r="G72" s="419" t="n"/>
      <c r="H72" s="419" t="n"/>
      <c r="I72" s="419" t="n"/>
      <c r="J72" s="419" t="n"/>
      <c r="K72" s="419" t="n"/>
      <c r="L72" s="419" t="n"/>
      <c r="M72" s="419" t="n"/>
      <c r="N72" s="419" t="n"/>
      <c r="O72" s="419" t="n"/>
      <c r="P72" s="419" t="n"/>
      <c r="Q72" s="419" t="n"/>
      <c r="R72" s="419" t="n"/>
      <c r="S72" s="419" t="n"/>
      <c r="T72" s="419" t="n"/>
      <c r="U72" s="420" t="n"/>
      <c r="V72" s="255" t="inlineStr">
        <is>
          <t>Apenas para cogeração qualificada</t>
        </is>
      </c>
      <c r="W72" s="419" t="n"/>
      <c r="X72" s="419" t="n"/>
      <c r="Y72" s="419" t="n"/>
      <c r="Z72" s="419" t="n"/>
      <c r="AA72" s="419" t="n"/>
      <c r="AB72" s="419" t="n"/>
      <c r="AC72" s="419" t="n"/>
      <c r="AD72" s="419" t="n"/>
      <c r="AE72" s="420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30" customHeight="1">
      <c r="B73" s="62" t="n"/>
      <c r="C73" s="488" t="inlineStr">
        <is>
          <t>10. Dados de segurança das barragens no caso do uso de sistemas com fontes hídricas, conforme Resolução Normativa nº 696/2015. (Caso aplicável)</t>
        </is>
      </c>
      <c r="D73" s="419" t="n"/>
      <c r="E73" s="419" t="n"/>
      <c r="F73" s="419" t="n"/>
      <c r="G73" s="419" t="n"/>
      <c r="H73" s="419" t="n"/>
      <c r="I73" s="419" t="n"/>
      <c r="J73" s="419" t="n"/>
      <c r="K73" s="419" t="n"/>
      <c r="L73" s="419" t="n"/>
      <c r="M73" s="419" t="n"/>
      <c r="N73" s="419" t="n"/>
      <c r="O73" s="419" t="n"/>
      <c r="P73" s="419" t="n"/>
      <c r="Q73" s="419" t="n"/>
      <c r="R73" s="419" t="n"/>
      <c r="S73" s="419" t="n"/>
      <c r="T73" s="419" t="n"/>
      <c r="U73" s="420" t="n"/>
      <c r="V73" s="255" t="n"/>
      <c r="W73" s="419" t="n"/>
      <c r="X73" s="419" t="n"/>
      <c r="Y73" s="419" t="n"/>
      <c r="Z73" s="419" t="n"/>
      <c r="AA73" s="419" t="n"/>
      <c r="AB73" s="419" t="n"/>
      <c r="AC73" s="419" t="n"/>
      <c r="AD73" s="419" t="n"/>
      <c r="AE73" s="420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488" t="inlineStr">
        <is>
          <t>11. Para centrais fotovoltaicas enquadradas como despacháveis, comprovação de que o sistema de armazenamento atende o disposto no art. 655-B da Resolução Normativa nº 1.000/2021. (Caso aplicável)</t>
        </is>
      </c>
      <c r="D74" s="419" t="n"/>
      <c r="E74" s="419" t="n"/>
      <c r="F74" s="419" t="n"/>
      <c r="G74" s="419" t="n"/>
      <c r="H74" s="419" t="n"/>
      <c r="I74" s="419" t="n"/>
      <c r="J74" s="419" t="n"/>
      <c r="K74" s="419" t="n"/>
      <c r="L74" s="419" t="n"/>
      <c r="M74" s="419" t="n"/>
      <c r="N74" s="419" t="n"/>
      <c r="O74" s="419" t="n"/>
      <c r="P74" s="419" t="n"/>
      <c r="Q74" s="419" t="n"/>
      <c r="R74" s="419" t="n"/>
      <c r="S74" s="419" t="n"/>
      <c r="T74" s="419" t="n"/>
      <c r="U74" s="420" t="n"/>
      <c r="V74" s="255" t="n"/>
      <c r="W74" s="419" t="n"/>
      <c r="X74" s="419" t="n"/>
      <c r="Y74" s="419" t="n"/>
      <c r="Z74" s="419" t="n"/>
      <c r="AA74" s="419" t="n"/>
      <c r="AB74" s="419" t="n"/>
      <c r="AC74" s="419" t="n"/>
      <c r="AD74" s="419" t="n"/>
      <c r="AE74" s="420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54.6" customHeight="1">
      <c r="B75" s="62" t="n"/>
      <c r="C75" s="488" t="inlineStr">
        <is>
      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      </is>
      </c>
      <c r="D75" s="419" t="n"/>
      <c r="E75" s="419" t="n"/>
      <c r="F75" s="419" t="n"/>
      <c r="G75" s="419" t="n"/>
      <c r="H75" s="419" t="n"/>
      <c r="I75" s="419" t="n"/>
      <c r="J75" s="419" t="n"/>
      <c r="K75" s="419" t="n"/>
      <c r="L75" s="419" t="n"/>
      <c r="M75" s="419" t="n"/>
      <c r="N75" s="419" t="n"/>
      <c r="O75" s="419" t="n"/>
      <c r="P75" s="419" t="n"/>
      <c r="Q75" s="419" t="n"/>
      <c r="R75" s="419" t="n"/>
      <c r="S75" s="419" t="n"/>
      <c r="T75" s="419" t="n"/>
      <c r="U75" s="420" t="n"/>
      <c r="V75" s="255" t="inlineStr">
        <is>
          <t xml:space="preserve">Apenas nos casos de Ligação Nova de UC com Microgeração ou Alteração da Potência Disponibilizada de UC Existente </t>
        </is>
      </c>
      <c r="W75" s="419" t="n"/>
      <c r="X75" s="419" t="n"/>
      <c r="Y75" s="419" t="n"/>
      <c r="Z75" s="419" t="n"/>
      <c r="AA75" s="419" t="n"/>
      <c r="AB75" s="419" t="n"/>
      <c r="AC75" s="419" t="n"/>
      <c r="AD75" s="419" t="n"/>
      <c r="AE75" s="420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30" customHeight="1">
      <c r="B76" s="62" t="n"/>
      <c r="C76" s="488" t="inlineStr">
        <is>
          <t>13. Formulário de Troca de Padrão ( de monofásico para bifásico ou trifásico, de bifásico para trifásico, de trifásico para bifásico ou monofásico, de bifásico para monofásico)  (Conforme ANEXO IV - FORMULÁRIO DE TROCA DE PADRÃO)</t>
        </is>
      </c>
      <c r="D76" s="419" t="n"/>
      <c r="E76" s="419" t="n"/>
      <c r="F76" s="419" t="n"/>
      <c r="G76" s="419" t="n"/>
      <c r="H76" s="419" t="n"/>
      <c r="I76" s="419" t="n"/>
      <c r="J76" s="419" t="n"/>
      <c r="K76" s="419" t="n"/>
      <c r="L76" s="419" t="n"/>
      <c r="M76" s="419" t="n"/>
      <c r="N76" s="419" t="n"/>
      <c r="O76" s="419" t="n"/>
      <c r="P76" s="419" t="n"/>
      <c r="Q76" s="419" t="n"/>
      <c r="R76" s="419" t="n"/>
      <c r="S76" s="419" t="n"/>
      <c r="T76" s="419" t="n"/>
      <c r="U76" s="420" t="n"/>
      <c r="V76" s="255" t="inlineStr">
        <is>
          <t>Apenas no caso de unidade consumidora existente com alteração de potência disponibilizada que implique em troca de padrão</t>
        </is>
      </c>
      <c r="W76" s="419" t="n"/>
      <c r="X76" s="419" t="n"/>
      <c r="Y76" s="419" t="n"/>
      <c r="Z76" s="419" t="n"/>
      <c r="AA76" s="419" t="n"/>
      <c r="AB76" s="419" t="n"/>
      <c r="AC76" s="419" t="n"/>
      <c r="AD76" s="419" t="n"/>
      <c r="AE76" s="420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30" customHeight="1">
      <c r="B77" s="62" t="n"/>
      <c r="C77" s="488" t="inlineStr">
        <is>
          <t>14. Autorização de uso de área comum em condomínio (quando necessário, conforme observação)</t>
        </is>
      </c>
      <c r="D77" s="419" t="n"/>
      <c r="E77" s="419" t="n"/>
      <c r="F77" s="419" t="n"/>
      <c r="G77" s="419" t="n"/>
      <c r="H77" s="419" t="n"/>
      <c r="I77" s="419" t="n"/>
      <c r="J77" s="419" t="n"/>
      <c r="K77" s="419" t="n"/>
      <c r="L77" s="419" t="n"/>
      <c r="M77" s="419" t="n"/>
      <c r="N77" s="419" t="n"/>
      <c r="O77" s="419" t="n"/>
      <c r="P77" s="419" t="n"/>
      <c r="Q77" s="419" t="n"/>
      <c r="R77" s="419" t="n"/>
      <c r="S77" s="419" t="n"/>
      <c r="T77" s="419" t="n"/>
      <c r="U77" s="420" t="n"/>
      <c r="V77" s="255" t="inlineStr">
        <is>
          <t>Quando uma UC individualmente construir uma central geradora utilizando a área comum do condomínio</t>
        </is>
      </c>
      <c r="W77" s="419" t="n"/>
      <c r="X77" s="419" t="n"/>
      <c r="Y77" s="419" t="n"/>
      <c r="Z77" s="419" t="n"/>
      <c r="AA77" s="419" t="n"/>
      <c r="AB77" s="419" t="n"/>
      <c r="AC77" s="419" t="n"/>
      <c r="AD77" s="419" t="n"/>
      <c r="AE77" s="420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488" t="inlineStr">
        <is>
          <t>15. Procuração Autenticada (quando necesário, conforme observação)</t>
        </is>
      </c>
      <c r="D78" s="419" t="n"/>
      <c r="E78" s="419" t="n"/>
      <c r="F78" s="419" t="n"/>
      <c r="G78" s="419" t="n"/>
      <c r="H78" s="419" t="n"/>
      <c r="I78" s="419" t="n"/>
      <c r="J78" s="419" t="n"/>
      <c r="K78" s="419" t="n"/>
      <c r="L78" s="419" t="n"/>
      <c r="M78" s="419" t="n"/>
      <c r="N78" s="419" t="n"/>
      <c r="O78" s="419" t="n"/>
      <c r="P78" s="419" t="n"/>
      <c r="Q78" s="419" t="n"/>
      <c r="R78" s="419" t="n"/>
      <c r="S78" s="419" t="n"/>
      <c r="T78" s="419" t="n"/>
      <c r="U78" s="420" t="n"/>
      <c r="V78" s="255" t="inlineStr">
        <is>
          <t>Quando a solicitação for feita por terceiros</t>
        </is>
      </c>
      <c r="W78" s="419" t="n"/>
      <c r="X78" s="419" t="n"/>
      <c r="Y78" s="419" t="n"/>
      <c r="Z78" s="419" t="n"/>
      <c r="AA78" s="419" t="n"/>
      <c r="AB78" s="419" t="n"/>
      <c r="AC78" s="419" t="n"/>
      <c r="AD78" s="419" t="n"/>
      <c r="AE78" s="420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39.95" customHeight="1">
      <c r="B79" s="62" t="n"/>
      <c r="C79" s="488" t="inlineStr">
        <is>
      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      </is>
      </c>
      <c r="D79" s="419" t="n"/>
      <c r="E79" s="419" t="n"/>
      <c r="F79" s="419" t="n"/>
      <c r="G79" s="419" t="n"/>
      <c r="H79" s="419" t="n"/>
      <c r="I79" s="419" t="n"/>
      <c r="J79" s="419" t="n"/>
      <c r="K79" s="419" t="n"/>
      <c r="L79" s="419" t="n"/>
      <c r="M79" s="419" t="n"/>
      <c r="N79" s="419" t="n"/>
      <c r="O79" s="419" t="n"/>
      <c r="P79" s="419" t="n"/>
      <c r="Q79" s="419" t="n"/>
      <c r="R79" s="419" t="n"/>
      <c r="S79" s="419" t="n"/>
      <c r="T79" s="419" t="n"/>
      <c r="U79" s="420" t="n"/>
      <c r="V79" s="255" t="n"/>
      <c r="W79" s="419" t="n"/>
      <c r="X79" s="419" t="n"/>
      <c r="Y79" s="419" t="n"/>
      <c r="Z79" s="419" t="n"/>
      <c r="AA79" s="419" t="n"/>
      <c r="AB79" s="419" t="n"/>
      <c r="AC79" s="419" t="n"/>
      <c r="AD79" s="419" t="n"/>
      <c r="AE79" s="42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9.949999999999999" customHeight="1" thickBot="1">
      <c r="B80" s="62" t="n"/>
      <c r="C80" s="39" t="n"/>
      <c r="D80" s="276" t="n"/>
      <c r="E80" s="276" t="n"/>
      <c r="F80" s="276" t="n"/>
      <c r="G80" s="276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0" t="n"/>
      <c r="Y80" s="2" t="n"/>
      <c r="Z80" s="30" t="n"/>
      <c r="AA80" s="2" t="n"/>
      <c r="AB80" s="30" t="n"/>
      <c r="AC80" s="2" t="n"/>
      <c r="AD80" s="30" t="n"/>
      <c r="AE80" s="2" t="n"/>
      <c r="AF80" s="1" t="n"/>
      <c r="AG80" s="67" t="n"/>
    </row>
    <row r="81" ht="20.1" customHeight="1" thickBot="1">
      <c r="B81" s="62" t="n"/>
      <c r="C81" s="461" t="inlineStr">
        <is>
          <t>5. Documentos necessários que devem ser anexados à Solicitação de Orçamento Estimado:</t>
        </is>
      </c>
      <c r="D81" s="415" t="n"/>
      <c r="E81" s="415" t="n"/>
      <c r="F81" s="415" t="n"/>
      <c r="G81" s="415" t="n"/>
      <c r="H81" s="415" t="n"/>
      <c r="I81" s="415" t="n"/>
      <c r="J81" s="415" t="n"/>
      <c r="K81" s="415" t="n"/>
      <c r="L81" s="415" t="n"/>
      <c r="M81" s="415" t="n"/>
      <c r="N81" s="415" t="n"/>
      <c r="O81" s="415" t="n"/>
      <c r="P81" s="415" t="n"/>
      <c r="Q81" s="415" t="n"/>
      <c r="R81" s="415" t="n"/>
      <c r="S81" s="415" t="n"/>
      <c r="T81" s="415" t="n"/>
      <c r="U81" s="415" t="n"/>
      <c r="V81" s="415" t="n"/>
      <c r="W81" s="415" t="n"/>
      <c r="X81" s="415" t="n"/>
      <c r="Y81" s="415" t="n"/>
      <c r="Z81" s="415" t="n"/>
      <c r="AA81" s="415" t="n"/>
      <c r="AB81" s="415" t="n"/>
      <c r="AC81" s="415" t="n"/>
      <c r="AD81" s="415" t="n"/>
      <c r="AE81" s="416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9.949999999999999" customHeight="1" thickBot="1">
      <c r="B82" s="62" t="n"/>
      <c r="C82" s="39" t="n"/>
      <c r="D82" s="276" t="n"/>
      <c r="E82" s="276" t="n"/>
      <c r="F82" s="276" t="n"/>
      <c r="G82" s="276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0" t="n"/>
      <c r="Y82" s="2" t="n"/>
      <c r="Z82" s="30" t="n"/>
      <c r="AA82" s="2" t="n"/>
      <c r="AB82" s="30" t="n"/>
      <c r="AC82" s="2" t="n"/>
      <c r="AD82" s="30" t="n"/>
      <c r="AE82" s="2" t="n"/>
      <c r="AF82" s="1" t="n"/>
      <c r="AG82" s="67" t="n"/>
    </row>
    <row r="83" ht="30" customHeight="1">
      <c r="B83" s="62" t="n"/>
      <c r="C83" s="489" t="inlineStr">
        <is>
          <t>Para solicitar orçamento estimado é necessário preencher apenas os dados básicos da unidade consumidora, a tensão de conexão e indicação da potência de geração no campo que surgirá ao lado do tipo de orçamento.</t>
        </is>
      </c>
      <c r="D83" s="451" t="n"/>
      <c r="E83" s="451" t="n"/>
      <c r="F83" s="451" t="n"/>
      <c r="G83" s="451" t="n"/>
      <c r="H83" s="451" t="n"/>
      <c r="I83" s="451" t="n"/>
      <c r="J83" s="451" t="n"/>
      <c r="K83" s="451" t="n"/>
      <c r="L83" s="451" t="n"/>
      <c r="M83" s="451" t="n"/>
      <c r="N83" s="451" t="n"/>
      <c r="O83" s="451" t="n"/>
      <c r="P83" s="451" t="n"/>
      <c r="Q83" s="451" t="n"/>
      <c r="R83" s="451" t="n"/>
      <c r="S83" s="451" t="n"/>
      <c r="T83" s="451" t="n"/>
      <c r="U83" s="451" t="n"/>
      <c r="V83" s="451" t="n"/>
      <c r="W83" s="451" t="n"/>
      <c r="X83" s="451" t="n"/>
      <c r="Y83" s="451" t="n"/>
      <c r="Z83" s="451" t="n"/>
      <c r="AA83" s="451" t="n"/>
      <c r="AB83" s="451" t="n"/>
      <c r="AC83" s="451" t="n"/>
      <c r="AD83" s="451" t="n"/>
      <c r="AE83" s="456" t="n"/>
      <c r="AF83" s="1" t="n"/>
      <c r="AG83" s="67" t="n"/>
    </row>
    <row r="84" ht="30" customHeight="1">
      <c r="B84" s="62" t="n"/>
      <c r="C84" s="490" t="inlineStr">
        <is>
          <t>Caso o orçamento estimado seja solicitado para uma localização onde ainda não exista unidade consumidora, é necessário anexar à solicitação planta de situação conforme modelo da norma NT.00020.EQTL.</t>
        </is>
      </c>
      <c r="D84" s="419" t="n"/>
      <c r="E84" s="419" t="n"/>
      <c r="F84" s="419" t="n"/>
      <c r="G84" s="419" t="n"/>
      <c r="H84" s="419" t="n"/>
      <c r="I84" s="419" t="n"/>
      <c r="J84" s="419" t="n"/>
      <c r="K84" s="419" t="n"/>
      <c r="L84" s="419" t="n"/>
      <c r="M84" s="419" t="n"/>
      <c r="N84" s="419" t="n"/>
      <c r="O84" s="419" t="n"/>
      <c r="P84" s="419" t="n"/>
      <c r="Q84" s="419" t="n"/>
      <c r="R84" s="419" t="n"/>
      <c r="S84" s="419" t="n"/>
      <c r="T84" s="419" t="n"/>
      <c r="U84" s="419" t="n"/>
      <c r="V84" s="419" t="n"/>
      <c r="W84" s="419" t="n"/>
      <c r="X84" s="419" t="n"/>
      <c r="Y84" s="419" t="n"/>
      <c r="Z84" s="419" t="n"/>
      <c r="AA84" s="419" t="n"/>
      <c r="AB84" s="419" t="n"/>
      <c r="AC84" s="419" t="n"/>
      <c r="AD84" s="419" t="n"/>
      <c r="AE84" s="491" t="n"/>
      <c r="AF84" s="1" t="n"/>
      <c r="AG84" s="67" t="n"/>
    </row>
    <row r="85" ht="30" customHeight="1" thickBot="1">
      <c r="B85" s="62" t="n"/>
      <c r="C85" s="492" t="inlineStr">
        <is>
          <t>Devem ser enviados também documentos de identificação do consumidor e, caso existam, procurações e documentações dos representantes legais, conforme Tabela 3 da norma NT.00020.EQTL.</t>
        </is>
      </c>
      <c r="D85" s="458" t="n"/>
      <c r="E85" s="458" t="n"/>
      <c r="F85" s="458" t="n"/>
      <c r="G85" s="458" t="n"/>
      <c r="H85" s="458" t="n"/>
      <c r="I85" s="458" t="n"/>
      <c r="J85" s="458" t="n"/>
      <c r="K85" s="458" t="n"/>
      <c r="L85" s="458" t="n"/>
      <c r="M85" s="458" t="n"/>
      <c r="N85" s="458" t="n"/>
      <c r="O85" s="458" t="n"/>
      <c r="P85" s="458" t="n"/>
      <c r="Q85" s="458" t="n"/>
      <c r="R85" s="458" t="n"/>
      <c r="S85" s="458" t="n"/>
      <c r="T85" s="458" t="n"/>
      <c r="U85" s="458" t="n"/>
      <c r="V85" s="458" t="n"/>
      <c r="W85" s="458" t="n"/>
      <c r="X85" s="458" t="n"/>
      <c r="Y85" s="458" t="n"/>
      <c r="Z85" s="458" t="n"/>
      <c r="AA85" s="458" t="n"/>
      <c r="AB85" s="458" t="n"/>
      <c r="AC85" s="458" t="n"/>
      <c r="AD85" s="458" t="n"/>
      <c r="AE85" s="459" t="n"/>
      <c r="AF85" s="1" t="n"/>
      <c r="AG85" s="67" t="n"/>
    </row>
    <row r="86" ht="9.949999999999999" customHeight="1" thickBot="1">
      <c r="B86" s="62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03" t="n"/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  <c r="AA86" s="103" t="n"/>
      <c r="AB86" s="103" t="n"/>
      <c r="AC86" s="103" t="n"/>
      <c r="AD86" s="103" t="n"/>
      <c r="AE86" s="103" t="n"/>
      <c r="AF86" s="1" t="n"/>
      <c r="AG86" s="67" t="n"/>
    </row>
    <row r="87" ht="20.1" customHeight="1" thickBot="1">
      <c r="B87" s="62" t="n"/>
      <c r="C87" s="461" t="inlineStr">
        <is>
          <t>6. Solicitações e Declarações</t>
        </is>
      </c>
      <c r="D87" s="415" t="n"/>
      <c r="E87" s="415" t="n"/>
      <c r="F87" s="415" t="n"/>
      <c r="G87" s="415" t="n"/>
      <c r="H87" s="415" t="n"/>
      <c r="I87" s="415" t="n"/>
      <c r="J87" s="415" t="n"/>
      <c r="K87" s="415" t="n"/>
      <c r="L87" s="415" t="n"/>
      <c r="M87" s="415" t="n"/>
      <c r="N87" s="415" t="n"/>
      <c r="O87" s="415" t="n"/>
      <c r="P87" s="415" t="n"/>
      <c r="Q87" s="415" t="n"/>
      <c r="R87" s="415" t="n"/>
      <c r="S87" s="415" t="n"/>
      <c r="T87" s="415" t="n"/>
      <c r="U87" s="415" t="n"/>
      <c r="V87" s="415" t="n"/>
      <c r="W87" s="415" t="n"/>
      <c r="X87" s="415" t="n"/>
      <c r="Y87" s="415" t="n"/>
      <c r="Z87" s="415" t="n"/>
      <c r="AA87" s="415" t="n"/>
      <c r="AB87" s="415" t="n"/>
      <c r="AC87" s="415" t="n"/>
      <c r="AD87" s="415" t="n"/>
      <c r="AE87" s="416" t="n"/>
      <c r="AF87" s="1" t="n"/>
      <c r="AG87" s="66" t="n"/>
    </row>
    <row r="88" ht="9.949999999999999" customHeight="1">
      <c r="B88" s="62" t="n"/>
      <c r="C88" s="487" t="n"/>
      <c r="D88" s="154" t="n"/>
      <c r="E88" s="154" t="n"/>
      <c r="F88" s="154" t="n"/>
      <c r="G88" s="58" t="n"/>
      <c r="H88" s="154" t="n"/>
      <c r="I88" s="154" t="n"/>
      <c r="J88" s="154" t="n"/>
      <c r="K88" s="154" t="n"/>
      <c r="L88" s="154" t="n"/>
      <c r="M88" s="154" t="n"/>
      <c r="N88" s="2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1" t="n"/>
      <c r="AG88" s="66" t="n"/>
    </row>
    <row r="89" ht="20.1" customHeight="1">
      <c r="B89" s="62" t="n"/>
      <c r="C89" s="306" t="inlineStr">
        <is>
          <t>Solicito que a contagem do prazo para realização da vistoria pela CONCESSIONÁRIA, conforme art. 68 da Resolução Normativa nº 1.000/2021, inicie-se somente após minha solicitação.</t>
        </is>
      </c>
      <c r="D89" s="419" t="n"/>
      <c r="E89" s="419" t="n"/>
      <c r="F89" s="419" t="n"/>
      <c r="G89" s="419" t="n"/>
      <c r="H89" s="419" t="n"/>
      <c r="I89" s="419" t="n"/>
      <c r="J89" s="419" t="n"/>
      <c r="K89" s="419" t="n"/>
      <c r="L89" s="419" t="n"/>
      <c r="M89" s="419" t="n"/>
      <c r="N89" s="419" t="n"/>
      <c r="O89" s="419" t="n"/>
      <c r="P89" s="419" t="n"/>
      <c r="Q89" s="419" t="n"/>
      <c r="R89" s="419" t="n"/>
      <c r="S89" s="419" t="n"/>
      <c r="T89" s="419" t="n"/>
      <c r="U89" s="419" t="n"/>
      <c r="V89" s="419" t="n"/>
      <c r="W89" s="419" t="n"/>
      <c r="X89" s="419" t="n"/>
      <c r="Y89" s="419" t="n"/>
      <c r="Z89" s="419" t="n"/>
      <c r="AA89" s="419" t="n"/>
      <c r="AB89" s="419" t="n"/>
      <c r="AC89" s="420" t="n"/>
      <c r="AD89" s="344" t="inlineStr">
        <is>
          <t>SIM</t>
        </is>
      </c>
      <c r="AE89" s="423" t="n"/>
      <c r="AF89" s="1" t="n"/>
      <c r="AG89" s="66" t="n"/>
    </row>
    <row r="90" ht="20.1" customHeight="1">
      <c r="B90" s="62" t="n"/>
      <c r="C90" s="306" t="inlineStr">
        <is>
          <t>Autorizo a distribuidora a entregar junto com o orçamento de conexão os contratos e o documento ou meio para pagamento de custos de minha responsabilidade.</t>
        </is>
      </c>
      <c r="D90" s="419" t="n"/>
      <c r="E90" s="419" t="n"/>
      <c r="F90" s="419" t="n"/>
      <c r="G90" s="419" t="n"/>
      <c r="H90" s="419" t="n"/>
      <c r="I90" s="419" t="n"/>
      <c r="J90" s="419" t="n"/>
      <c r="K90" s="419" t="n"/>
      <c r="L90" s="419" t="n"/>
      <c r="M90" s="419" t="n"/>
      <c r="N90" s="419" t="n"/>
      <c r="O90" s="419" t="n"/>
      <c r="P90" s="419" t="n"/>
      <c r="Q90" s="419" t="n"/>
      <c r="R90" s="419" t="n"/>
      <c r="S90" s="419" t="n"/>
      <c r="T90" s="419" t="n"/>
      <c r="U90" s="419" t="n"/>
      <c r="V90" s="419" t="n"/>
      <c r="W90" s="419" t="n"/>
      <c r="X90" s="419" t="n"/>
      <c r="Y90" s="419" t="n"/>
      <c r="Z90" s="419" t="n"/>
      <c r="AA90" s="419" t="n"/>
      <c r="AB90" s="419" t="n"/>
      <c r="AC90" s="420" t="n"/>
      <c r="AD90" s="344" t="inlineStr">
        <is>
          <t>SIM</t>
        </is>
      </c>
      <c r="AE90" s="423" t="n"/>
      <c r="AF90" s="1" t="n"/>
      <c r="AG90" s="66" t="n"/>
    </row>
    <row r="91" ht="35.1" customHeight="1">
      <c r="B91" s="62" t="n"/>
      <c r="C91" s="368" t="inlineStr">
        <is>
      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      </is>
      </c>
      <c r="D91" s="419" t="n"/>
      <c r="E91" s="419" t="n"/>
      <c r="F91" s="419" t="n"/>
      <c r="G91" s="419" t="n"/>
      <c r="H91" s="419" t="n"/>
      <c r="I91" s="419" t="n"/>
      <c r="J91" s="419" t="n"/>
      <c r="K91" s="419" t="n"/>
      <c r="L91" s="419" t="n"/>
      <c r="M91" s="419" t="n"/>
      <c r="N91" s="419" t="n"/>
      <c r="O91" s="419" t="n"/>
      <c r="P91" s="419" t="n"/>
      <c r="Q91" s="419" t="n"/>
      <c r="R91" s="419" t="n"/>
      <c r="S91" s="419" t="n"/>
      <c r="T91" s="419" t="n"/>
      <c r="U91" s="419" t="n"/>
      <c r="V91" s="419" t="n"/>
      <c r="W91" s="419" t="n"/>
      <c r="X91" s="419" t="n"/>
      <c r="Y91" s="419" t="n"/>
      <c r="Z91" s="419" t="n"/>
      <c r="AA91" s="419" t="n"/>
      <c r="AB91" s="419" t="n"/>
      <c r="AC91" s="420" t="n"/>
      <c r="AD91" s="344" t="inlineStr">
        <is>
          <t>SIM</t>
        </is>
      </c>
      <c r="AE91" s="423" t="n"/>
      <c r="AF91" s="1" t="n"/>
      <c r="AG91" s="66" t="n"/>
    </row>
    <row r="92" ht="20.1" customHeight="1">
      <c r="B92" s="62" t="n"/>
      <c r="C92" s="306" t="inlineStr">
        <is>
          <t xml:space="preserve">Solicito dispensa da análise de inversão de fluxo por enquadramento no art. 73-A da REN 1000, na seguinte regra: </t>
        </is>
      </c>
      <c r="D92" s="419" t="n"/>
      <c r="E92" s="419" t="n"/>
      <c r="F92" s="419" t="n"/>
      <c r="G92" s="419" t="n"/>
      <c r="H92" s="419" t="n"/>
      <c r="I92" s="419" t="n"/>
      <c r="J92" s="419" t="n"/>
      <c r="K92" s="419" t="n"/>
      <c r="L92" s="419" t="n"/>
      <c r="M92" s="419" t="n"/>
      <c r="N92" s="419" t="n"/>
      <c r="O92" s="419" t="n"/>
      <c r="P92" s="419" t="n"/>
      <c r="Q92" s="419" t="n"/>
      <c r="R92" s="419" t="n"/>
      <c r="S92" s="419" t="n"/>
      <c r="T92" s="419" t="n"/>
      <c r="U92" s="419" t="n"/>
      <c r="V92" s="419" t="n"/>
      <c r="W92" s="419" t="n"/>
      <c r="X92" s="419" t="n"/>
      <c r="Y92" s="419" t="n"/>
      <c r="Z92" s="419" t="n"/>
      <c r="AA92" s="419" t="n"/>
      <c r="AB92" s="419" t="n"/>
      <c r="AC92" s="419" t="n"/>
      <c r="AD92" s="419" t="n"/>
      <c r="AE92" s="420" t="n"/>
      <c r="AF92" s="1" t="n"/>
      <c r="AG92" s="66" t="n"/>
    </row>
    <row r="93" ht="20.1" customHeight="1">
      <c r="B93" s="62" t="n"/>
      <c r="C93" s="306" t="inlineStr">
        <is>
          <t xml:space="preserve">     Não injeção na rede de distribuição de energia elétrica (“Grid Zero”)</t>
        </is>
      </c>
      <c r="D93" s="419" t="n"/>
      <c r="E93" s="419" t="n"/>
      <c r="F93" s="419" t="n"/>
      <c r="G93" s="419" t="n"/>
      <c r="H93" s="419" t="n"/>
      <c r="I93" s="419" t="n"/>
      <c r="J93" s="419" t="n"/>
      <c r="K93" s="419" t="n"/>
      <c r="L93" s="419" t="n"/>
      <c r="M93" s="419" t="n"/>
      <c r="N93" s="419" t="n"/>
      <c r="O93" s="419" t="n"/>
      <c r="P93" s="419" t="n"/>
      <c r="Q93" s="419" t="n"/>
      <c r="R93" s="419" t="n"/>
      <c r="S93" s="419" t="n"/>
      <c r="T93" s="419" t="n"/>
      <c r="U93" s="419" t="n"/>
      <c r="V93" s="419" t="n"/>
      <c r="W93" s="419" t="n"/>
      <c r="X93" s="419" t="n"/>
      <c r="Y93" s="419" t="n"/>
      <c r="Z93" s="419" t="n"/>
      <c r="AA93" s="419" t="n"/>
      <c r="AB93" s="419" t="n"/>
      <c r="AC93" s="420" t="n"/>
      <c r="AD93" s="344" t="inlineStr">
        <is>
          <t>SIM</t>
        </is>
      </c>
      <c r="AE93" s="423" t="n"/>
      <c r="AF93" s="1" t="n"/>
      <c r="AG93" s="66" t="n"/>
    </row>
    <row r="94" ht="20.1" customHeight="1">
      <c r="B94" s="62" t="n"/>
      <c r="C94" s="368" t="inlineStr">
        <is>
          <t xml:space="preserve">     Enquadramento nos critérios de gratuidade da REN 1.000/2021 e potência de geração compatível com o consumo no horário de geração</t>
        </is>
      </c>
      <c r="D94" s="419" t="n"/>
      <c r="E94" s="419" t="n"/>
      <c r="F94" s="419" t="n"/>
      <c r="G94" s="419" t="n"/>
      <c r="H94" s="419" t="n"/>
      <c r="I94" s="419" t="n"/>
      <c r="J94" s="419" t="n"/>
      <c r="K94" s="419" t="n"/>
      <c r="L94" s="419" t="n"/>
      <c r="M94" s="419" t="n"/>
      <c r="N94" s="419" t="n"/>
      <c r="O94" s="419" t="n"/>
      <c r="P94" s="419" t="n"/>
      <c r="Q94" s="419" t="n"/>
      <c r="R94" s="419" t="n"/>
      <c r="S94" s="419" t="n"/>
      <c r="T94" s="419" t="n"/>
      <c r="U94" s="419" t="n"/>
      <c r="V94" s="419" t="n"/>
      <c r="W94" s="419" t="n"/>
      <c r="X94" s="419" t="n"/>
      <c r="Y94" s="419" t="n"/>
      <c r="Z94" s="419" t="n"/>
      <c r="AA94" s="419" t="n"/>
      <c r="AB94" s="419" t="n"/>
      <c r="AC94" s="420" t="n"/>
      <c r="AD94" s="344" t="inlineStr">
        <is>
          <t>SIM</t>
        </is>
      </c>
      <c r="AE94" s="423" t="n"/>
      <c r="AF94" s="1" t="n"/>
      <c r="AG94" s="66" t="n"/>
    </row>
    <row r="95" ht="20.1" customHeight="1">
      <c r="B95" s="62" t="n"/>
      <c r="C95" s="306" t="inlineStr">
        <is>
          <t xml:space="preserve">     Modalidade autoconsumo local, com potência instalada de geração igual ou inferior a 7,5 kW, observado o item 7</t>
        </is>
      </c>
      <c r="D95" s="419" t="n"/>
      <c r="E95" s="419" t="n"/>
      <c r="F95" s="419" t="n"/>
      <c r="G95" s="419" t="n"/>
      <c r="H95" s="419" t="n"/>
      <c r="I95" s="419" t="n"/>
      <c r="J95" s="419" t="n"/>
      <c r="K95" s="419" t="n"/>
      <c r="L95" s="419" t="n"/>
      <c r="M95" s="419" t="n"/>
      <c r="N95" s="419" t="n"/>
      <c r="O95" s="419" t="n"/>
      <c r="P95" s="419" t="n"/>
      <c r="Q95" s="419" t="n"/>
      <c r="R95" s="419" t="n"/>
      <c r="S95" s="419" t="n"/>
      <c r="T95" s="419" t="n"/>
      <c r="U95" s="419" t="n"/>
      <c r="V95" s="419" t="n"/>
      <c r="W95" s="419" t="n"/>
      <c r="X95" s="419" t="n"/>
      <c r="Y95" s="419" t="n"/>
      <c r="Z95" s="419" t="n"/>
      <c r="AA95" s="419" t="n"/>
      <c r="AB95" s="419" t="n"/>
      <c r="AC95" s="420" t="n"/>
      <c r="AD95" s="344" t="inlineStr">
        <is>
          <t>SIM</t>
        </is>
      </c>
      <c r="AE95" s="423" t="n"/>
      <c r="AF95" s="1" t="n"/>
      <c r="AG95" s="66" t="n"/>
    </row>
    <row r="96" ht="20.1" customHeight="1">
      <c r="B96" s="62" t="n"/>
      <c r="C96" s="306" t="inlineStr">
        <is>
          <t>Declaro, para todos os fins, que todas as informações prestadas neste documento são verdadeiras.</t>
        </is>
      </c>
      <c r="D96" s="419" t="n"/>
      <c r="E96" s="419" t="n"/>
      <c r="F96" s="419" t="n"/>
      <c r="G96" s="419" t="n"/>
      <c r="H96" s="419" t="n"/>
      <c r="I96" s="419" t="n"/>
      <c r="J96" s="419" t="n"/>
      <c r="K96" s="419" t="n"/>
      <c r="L96" s="419" t="n"/>
      <c r="M96" s="419" t="n"/>
      <c r="N96" s="419" t="n"/>
      <c r="O96" s="419" t="n"/>
      <c r="P96" s="419" t="n"/>
      <c r="Q96" s="419" t="n"/>
      <c r="R96" s="419" t="n"/>
      <c r="S96" s="419" t="n"/>
      <c r="T96" s="419" t="n"/>
      <c r="U96" s="419" t="n"/>
      <c r="V96" s="419" t="n"/>
      <c r="W96" s="419" t="n"/>
      <c r="X96" s="419" t="n"/>
      <c r="Y96" s="419" t="n"/>
      <c r="Z96" s="419" t="n"/>
      <c r="AA96" s="419" t="n"/>
      <c r="AB96" s="419" t="n"/>
      <c r="AC96" s="420" t="n"/>
      <c r="AD96" s="344" t="inlineStr">
        <is>
          <t>SIM</t>
        </is>
      </c>
      <c r="AE96" s="423" t="n"/>
      <c r="AF96" s="1" t="n"/>
      <c r="AG96" s="66" t="n"/>
    </row>
    <row r="97" ht="9.949999999999999" customHeight="1" thickBot="1">
      <c r="B97" s="62" t="n"/>
      <c r="C97" s="39" t="n"/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0" t="n"/>
      <c r="Y97" s="2" t="n"/>
      <c r="Z97" s="30" t="n"/>
      <c r="AA97" s="2" t="n"/>
      <c r="AB97" s="30" t="n"/>
      <c r="AC97" s="2" t="n"/>
      <c r="AD97" s="30" t="n"/>
      <c r="AE97" s="2" t="n"/>
      <c r="AF97" s="1" t="n"/>
      <c r="AG97" s="67" t="n"/>
    </row>
    <row r="98" ht="20.1" customHeight="1" thickBot="1">
      <c r="B98" s="62" t="n"/>
      <c r="C98" s="461" t="inlineStr">
        <is>
          <t>7. Termo de Aceite das condições para afastamento da análise de inversão de fluxo (Opcional)</t>
        </is>
      </c>
      <c r="D98" s="415" t="n"/>
      <c r="E98" s="415" t="n"/>
      <c r="F98" s="415" t="n"/>
      <c r="G98" s="415" t="n"/>
      <c r="H98" s="415" t="n"/>
      <c r="I98" s="415" t="n"/>
      <c r="J98" s="415" t="n"/>
      <c r="K98" s="415" t="n"/>
      <c r="L98" s="415" t="n"/>
      <c r="M98" s="415" t="n"/>
      <c r="N98" s="415" t="n"/>
      <c r="O98" s="415" t="n"/>
      <c r="P98" s="415" t="n"/>
      <c r="Q98" s="415" t="n"/>
      <c r="R98" s="415" t="n"/>
      <c r="S98" s="415" t="n"/>
      <c r="T98" s="415" t="n"/>
      <c r="U98" s="415" t="n"/>
      <c r="V98" s="415" t="n"/>
      <c r="W98" s="415" t="n"/>
      <c r="X98" s="415" t="n"/>
      <c r="Y98" s="415" t="n"/>
      <c r="Z98" s="415" t="n"/>
      <c r="AA98" s="415" t="n"/>
      <c r="AB98" s="415" t="n"/>
      <c r="AC98" s="415" t="n"/>
      <c r="AD98" s="415" t="n"/>
      <c r="AE98" s="416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 thickBot="1">
      <c r="B99" s="62" t="n"/>
      <c r="C99" s="39" t="n"/>
      <c r="D99" s="276" t="n"/>
      <c r="E99" s="276" t="n"/>
      <c r="F99" s="276" t="n"/>
      <c r="G99" s="276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0" t="n"/>
      <c r="Y99" s="2" t="n"/>
      <c r="Z99" s="30" t="n"/>
      <c r="AA99" s="2" t="n"/>
      <c r="AB99" s="30" t="n"/>
      <c r="AC99" s="2" t="n"/>
      <c r="AD99" s="30" t="n"/>
      <c r="AE99" s="2" t="n"/>
      <c r="AF99" s="1" t="n"/>
      <c r="AG99" s="67" t="n"/>
    </row>
    <row r="100" ht="84.95" customHeight="1">
      <c r="B100" s="62" t="n"/>
      <c r="C100" s="489" t="inlineStr">
        <is>
      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      </is>
      </c>
      <c r="D100" s="451" t="n"/>
      <c r="E100" s="451" t="n"/>
      <c r="F100" s="451" t="n"/>
      <c r="G100" s="451" t="n"/>
      <c r="H100" s="451" t="n"/>
      <c r="I100" s="451" t="n"/>
      <c r="J100" s="451" t="n"/>
      <c r="K100" s="451" t="n"/>
      <c r="L100" s="451" t="n"/>
      <c r="M100" s="451" t="n"/>
      <c r="N100" s="451" t="n"/>
      <c r="O100" s="451" t="n"/>
      <c r="P100" s="451" t="n"/>
      <c r="Q100" s="451" t="n"/>
      <c r="R100" s="451" t="n"/>
      <c r="S100" s="451" t="n"/>
      <c r="T100" s="451" t="n"/>
      <c r="U100" s="451" t="n"/>
      <c r="V100" s="451" t="n"/>
      <c r="W100" s="451" t="n"/>
      <c r="X100" s="451" t="n"/>
      <c r="Y100" s="451" t="n"/>
      <c r="Z100" s="451" t="n"/>
      <c r="AA100" s="451" t="n"/>
      <c r="AB100" s="451" t="n"/>
      <c r="AC100" s="451" t="n"/>
      <c r="AD100" s="451" t="n"/>
      <c r="AE100" s="456" t="n"/>
      <c r="AF100" s="1" t="n"/>
      <c r="AG100" s="67" t="n"/>
    </row>
    <row r="101" ht="48" customHeight="1">
      <c r="B101" s="62" t="n"/>
      <c r="C101" s="275" t="inlineStr">
        <is>
          <t>Local e Data:</t>
        </is>
      </c>
      <c r="E101" s="279" t="inlineStr">
        <is>
          <t>22/07/2025 - Goiânia - GO</t>
        </is>
      </c>
      <c r="F101" s="474" t="n"/>
      <c r="G101" s="474" t="n"/>
      <c r="H101" s="474" t="n"/>
      <c r="I101" s="474" t="n"/>
      <c r="J101" s="110" t="n"/>
      <c r="K101" s="276" t="n"/>
      <c r="L101" s="276" t="n"/>
      <c r="M101" s="276" t="n"/>
      <c r="N101" s="276" t="n"/>
      <c r="O101" s="276" t="n"/>
      <c r="P101" s="276" t="n"/>
      <c r="Q101" s="276" t="n"/>
      <c r="R101" s="276" t="n"/>
      <c r="S101" s="276" t="n"/>
      <c r="T101" s="276" t="n"/>
      <c r="U101" s="276" t="n"/>
      <c r="V101" s="276" t="n"/>
      <c r="W101" s="276" t="n"/>
      <c r="X101" s="276" t="n"/>
      <c r="Y101" s="276" t="n"/>
      <c r="Z101" s="276" t="n"/>
      <c r="AA101" s="276" t="n"/>
      <c r="AB101" s="276" t="n"/>
      <c r="AC101" s="276" t="n"/>
      <c r="AD101" s="276" t="n"/>
      <c r="AE101" s="109" t="n"/>
      <c r="AF101" s="1" t="n"/>
      <c r="AG101" s="67" t="n"/>
    </row>
    <row r="102" ht="48" customHeight="1" thickBot="1">
      <c r="B102" s="62" t="n"/>
      <c r="C102" s="277" t="inlineStr">
        <is>
          <t>Assinatura:</t>
        </is>
      </c>
      <c r="D102" s="458" t="n"/>
      <c r="E102" s="280" t="n"/>
      <c r="F102" s="493" t="n"/>
      <c r="G102" s="493" t="n"/>
      <c r="H102" s="493" t="n"/>
      <c r="I102" s="493" t="n"/>
      <c r="J102" s="278" t="n"/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83" t="n"/>
      <c r="AF102" s="1" t="n"/>
      <c r="AG102" s="67" t="n"/>
    </row>
    <row r="103" ht="9.949999999999999" customHeight="1" thickBot="1">
      <c r="B103" s="62" t="n"/>
      <c r="C103" s="50" t="n"/>
      <c r="D103" s="276" t="n"/>
      <c r="E103" s="276" t="n"/>
      <c r="F103" s="276" t="n"/>
      <c r="G103" s="276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1" t="n"/>
      <c r="AG103" s="37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 ht="20.1" customHeight="1" thickBot="1">
      <c r="B104" s="62" t="n"/>
      <c r="C104" s="461" t="inlineStr">
        <is>
          <t>8. Este formulário deve ser preenchido e encaminhado aos canais de atendimento Corporativo da Concessionária</t>
        </is>
      </c>
      <c r="D104" s="415" t="n"/>
      <c r="E104" s="415" t="n"/>
      <c r="F104" s="415" t="n"/>
      <c r="G104" s="415" t="n"/>
      <c r="H104" s="415" t="n"/>
      <c r="I104" s="415" t="n"/>
      <c r="J104" s="415" t="n"/>
      <c r="K104" s="415" t="n"/>
      <c r="L104" s="415" t="n"/>
      <c r="M104" s="415" t="n"/>
      <c r="N104" s="415" t="n"/>
      <c r="O104" s="415" t="n"/>
      <c r="P104" s="415" t="n"/>
      <c r="Q104" s="415" t="n"/>
      <c r="R104" s="415" t="n"/>
      <c r="S104" s="415" t="n"/>
      <c r="T104" s="415" t="n"/>
      <c r="U104" s="415" t="n"/>
      <c r="V104" s="415" t="n"/>
      <c r="W104" s="415" t="n"/>
      <c r="X104" s="415" t="n"/>
      <c r="Y104" s="415" t="n"/>
      <c r="Z104" s="415" t="n"/>
      <c r="AA104" s="415" t="n"/>
      <c r="AB104" s="415" t="n"/>
      <c r="AC104" s="415" t="n"/>
      <c r="AD104" s="415" t="n"/>
      <c r="AE104" s="416" t="n"/>
      <c r="AF104" s="1" t="n"/>
      <c r="AG104" s="37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2" t="n"/>
      <c r="C105" s="494" t="inlineStr">
        <is>
          <t>ALAGOAS - Sede de regionais (Maceio,Arapiraca, Matriz de Camaragibe e Santana</t>
        </is>
      </c>
      <c r="D105" s="451" t="n"/>
      <c r="E105" s="451" t="n"/>
      <c r="F105" s="451" t="n"/>
      <c r="G105" s="451" t="n"/>
      <c r="H105" s="451" t="n"/>
      <c r="I105" s="451" t="n"/>
      <c r="J105" s="451" t="n"/>
      <c r="K105" s="451" t="n"/>
      <c r="L105" s="451" t="n"/>
      <c r="M105" s="451" t="n"/>
      <c r="N105" s="495" t="n"/>
      <c r="O105" s="496" t="inlineStr">
        <is>
          <t>Eu, acessante identificado neste formulário, venho por meio deste instrumento, solicitar o acesso para microgeração distribuída, fornecendo meus dados cadastrais assim como as documentos necessários, em conformidade com as normas e resoluções aplicáveis.</t>
        </is>
      </c>
      <c r="P105" s="451" t="n"/>
      <c r="Q105" s="451" t="n"/>
      <c r="R105" s="451" t="n"/>
      <c r="S105" s="451" t="n"/>
      <c r="T105" s="451" t="n"/>
      <c r="U105" s="451" t="n"/>
      <c r="V105" s="451" t="n"/>
      <c r="W105" s="451" t="n"/>
      <c r="X105" s="451" t="n"/>
      <c r="Y105" s="451" t="n"/>
      <c r="Z105" s="451" t="n"/>
      <c r="AA105" s="451" t="n"/>
      <c r="AB105" s="451" t="n"/>
      <c r="AC105" s="451" t="n"/>
      <c r="AD105" s="451" t="n"/>
      <c r="AE105" s="456" t="n"/>
      <c r="AF105" s="1" t="n"/>
      <c r="AG105" s="37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2" t="n"/>
      <c r="C106" s="268" t="inlineStr">
        <is>
          <t>do Ipanema)</t>
        </is>
      </c>
      <c r="O106" s="497" t="n"/>
      <c r="AE106" s="457" t="n"/>
      <c r="AF106" s="1" t="n"/>
      <c r="AG106" s="37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2" t="n"/>
      <c r="C107" s="498" t="inlineStr">
        <is>
          <t>AMAPÁ - Sede de regionais (Macapá)</t>
        </is>
      </c>
      <c r="N107" s="499" t="n"/>
      <c r="O107" s="497" t="n"/>
      <c r="AE107" s="457" t="n"/>
      <c r="AF107" s="1" t="n"/>
      <c r="AG107" s="37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>
      <c r="B108" s="62" t="n"/>
      <c r="C108" s="498" t="inlineStr">
        <is>
          <t>GOIÁS - Sede de regionais (Goiânia, Luziânia, Anápolis, Rio Verde e Iporá)</t>
        </is>
      </c>
      <c r="N108" s="499" t="n"/>
      <c r="O108" s="265" t="n"/>
      <c r="P108" s="266" t="n"/>
      <c r="Q108" s="266" t="n"/>
      <c r="R108" s="266" t="n"/>
      <c r="S108" s="266" t="n"/>
      <c r="T108" s="266" t="n"/>
      <c r="U108" s="266" t="n"/>
      <c r="V108" s="266" t="n"/>
      <c r="W108" s="266" t="n"/>
      <c r="X108" s="266" t="n"/>
      <c r="Y108" s="266" t="n"/>
      <c r="Z108" s="266" t="n"/>
      <c r="AA108" s="266" t="n"/>
      <c r="AB108" s="266" t="n"/>
      <c r="AC108" s="266" t="n"/>
      <c r="AD108" s="266" t="n"/>
      <c r="AE108" s="267" t="n"/>
      <c r="AF108" s="1" t="n"/>
      <c r="AG108" s="37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>
      <c r="B109" s="62" t="n"/>
      <c r="C109" s="498" t="inlineStr">
        <is>
          <t>MARANHÃO - Sede de regionais (São Luís, Imperatriz, Timon, Balsas e Bacabal)</t>
        </is>
      </c>
      <c r="N109" s="499" t="n"/>
      <c r="O109" s="289" t="inlineStr">
        <is>
          <t>Goiânia - GO</t>
        </is>
      </c>
      <c r="P109" s="474" t="n"/>
      <c r="Q109" s="474" t="n"/>
      <c r="R109" s="474" t="n"/>
      <c r="S109" s="474" t="n"/>
      <c r="T109" s="11" t="n"/>
      <c r="U109" s="500" t="n">
        <v>45860</v>
      </c>
      <c r="V109" s="474" t="n"/>
      <c r="W109" s="474" t="n"/>
      <c r="X109" s="474" t="n"/>
      <c r="Y109" s="11" t="n"/>
      <c r="Z109" s="293" t="n"/>
      <c r="AA109" s="474" t="n"/>
      <c r="AB109" s="474" t="n"/>
      <c r="AC109" s="474" t="n"/>
      <c r="AD109" s="474" t="n"/>
      <c r="AE109" s="501" t="n"/>
      <c r="AF109" s="1" t="n"/>
      <c r="AG109" s="37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2" t="n"/>
      <c r="C110" s="498" t="inlineStr">
        <is>
          <t>PARÁ - Sede de regionais (Belém, Castanhal, Marabá, Santarém e Altamira)</t>
        </is>
      </c>
      <c r="N110" s="499" t="n"/>
      <c r="O110" s="502" t="n"/>
      <c r="P110" s="474" t="n"/>
      <c r="Q110" s="474" t="n"/>
      <c r="R110" s="474" t="n"/>
      <c r="S110" s="474" t="n"/>
      <c r="T110" s="11" t="n"/>
      <c r="U110" s="474" t="n"/>
      <c r="V110" s="474" t="n"/>
      <c r="W110" s="474" t="n"/>
      <c r="X110" s="474" t="n"/>
      <c r="Y110" s="11" t="n"/>
      <c r="Z110" s="474" t="n"/>
      <c r="AA110" s="474" t="n"/>
      <c r="AB110" s="474" t="n"/>
      <c r="AC110" s="474" t="n"/>
      <c r="AD110" s="474" t="n"/>
      <c r="AE110" s="501" t="n"/>
      <c r="AF110" s="1" t="n"/>
      <c r="AG110" s="37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2" t="n"/>
      <c r="C111" s="498" t="inlineStr">
        <is>
          <t>PIAUÍ - Sede de regionais (Teresina, Parnaíba, Picos, Bom Jesus e Floriano)</t>
        </is>
      </c>
      <c r="N111" s="499" t="n"/>
      <c r="O111" s="502" t="n"/>
      <c r="P111" s="474" t="n"/>
      <c r="Q111" s="474" t="n"/>
      <c r="R111" s="474" t="n"/>
      <c r="S111" s="474" t="n"/>
      <c r="T111" s="11" t="n"/>
      <c r="U111" s="474" t="n"/>
      <c r="V111" s="474" t="n"/>
      <c r="W111" s="474" t="n"/>
      <c r="X111" s="474" t="n"/>
      <c r="Y111" s="11" t="n"/>
      <c r="Z111" s="474" t="n"/>
      <c r="AA111" s="474" t="n"/>
      <c r="AB111" s="474" t="n"/>
      <c r="AC111" s="474" t="n"/>
      <c r="AD111" s="474" t="n"/>
      <c r="AE111" s="501" t="n"/>
      <c r="AF111" s="1" t="n"/>
      <c r="AG111" s="37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2" t="n"/>
      <c r="C112" s="498" t="inlineStr">
        <is>
          <t>RIO GRANDE DO SUL - Sede de regionais (Porto Alegre, Osório e Pelotas)</t>
        </is>
      </c>
      <c r="N112" s="499" t="n"/>
      <c r="O112" s="502" t="n"/>
      <c r="P112" s="474" t="n"/>
      <c r="Q112" s="474" t="n"/>
      <c r="R112" s="474" t="n"/>
      <c r="S112" s="474" t="n"/>
      <c r="T112" s="11" t="n"/>
      <c r="U112" s="474" t="n"/>
      <c r="V112" s="474" t="n"/>
      <c r="W112" s="474" t="n"/>
      <c r="X112" s="474" t="n"/>
      <c r="Y112" s="11" t="n"/>
      <c r="Z112" s="474" t="n"/>
      <c r="AA112" s="474" t="n"/>
      <c r="AB112" s="474" t="n"/>
      <c r="AC112" s="474" t="n"/>
      <c r="AD112" s="474" t="n"/>
      <c r="AE112" s="501" t="n"/>
      <c r="AF112" s="1" t="n"/>
      <c r="AG112" s="37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2" t="n"/>
      <c r="C113" s="268" t="n"/>
      <c r="D113" s="269" t="n"/>
      <c r="E113" s="269" t="n"/>
      <c r="F113" s="269" t="n"/>
      <c r="G113" s="269" t="n"/>
      <c r="H113" s="269" t="n"/>
      <c r="I113" s="269" t="n"/>
      <c r="J113" s="269" t="n"/>
      <c r="K113" s="269" t="n"/>
      <c r="L113" s="269" t="n"/>
      <c r="M113" s="269" t="n"/>
      <c r="N113" s="270" t="n"/>
      <c r="O113" s="502" t="n"/>
      <c r="P113" s="474" t="n"/>
      <c r="Q113" s="474" t="n"/>
      <c r="R113" s="474" t="n"/>
      <c r="S113" s="474" t="n"/>
      <c r="T113" s="11" t="n"/>
      <c r="U113" s="474" t="n"/>
      <c r="V113" s="474" t="n"/>
      <c r="W113" s="474" t="n"/>
      <c r="X113" s="474" t="n"/>
      <c r="Y113" s="11" t="n"/>
      <c r="Z113" s="474" t="n"/>
      <c r="AA113" s="474" t="n"/>
      <c r="AB113" s="474" t="n"/>
      <c r="AC113" s="474" t="n"/>
      <c r="AD113" s="474" t="n"/>
      <c r="AE113" s="501" t="n"/>
      <c r="AF113" s="1" t="n"/>
      <c r="AG113" s="37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 ht="9.949999999999999" customHeight="1">
      <c r="B114" s="62" t="n"/>
      <c r="C114" s="503" t="inlineStr">
        <is>
          <t>Em caso de dúvidas entrar em contato com os canais de atendimento disponibilizados na norma NT.00020.EQTL.Normas e Qualidade.</t>
        </is>
      </c>
      <c r="N114" s="499" t="n"/>
      <c r="O114" s="504" t="n"/>
      <c r="P114" s="429" t="n"/>
      <c r="Q114" s="429" t="n"/>
      <c r="R114" s="429" t="n"/>
      <c r="S114" s="429" t="n"/>
      <c r="T114" s="2" t="n"/>
      <c r="U114" s="429" t="n"/>
      <c r="V114" s="429" t="n"/>
      <c r="W114" s="429" t="n"/>
      <c r="X114" s="429" t="n"/>
      <c r="Y114" s="2" t="n"/>
      <c r="Z114" s="429" t="n"/>
      <c r="AA114" s="429" t="n"/>
      <c r="AB114" s="429" t="n"/>
      <c r="AC114" s="429" t="n"/>
      <c r="AD114" s="429" t="n"/>
      <c r="AE114" s="505" t="n"/>
      <c r="AF114" s="1" t="n"/>
      <c r="AG114" s="37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 ht="20.1" customHeight="1" thickBot="1">
      <c r="B115" s="62" t="n"/>
      <c r="C115" s="506" t="n"/>
      <c r="D115" s="458" t="n"/>
      <c r="E115" s="458" t="n"/>
      <c r="F115" s="458" t="n"/>
      <c r="G115" s="458" t="n"/>
      <c r="H115" s="458" t="n"/>
      <c r="I115" s="458" t="n"/>
      <c r="J115" s="458" t="n"/>
      <c r="K115" s="458" t="n"/>
      <c r="L115" s="458" t="n"/>
      <c r="M115" s="458" t="n"/>
      <c r="N115" s="507" t="n"/>
      <c r="O115" s="300" t="inlineStr">
        <is>
          <t>Local</t>
        </is>
      </c>
      <c r="P115" s="508" t="n"/>
      <c r="Q115" s="508" t="n"/>
      <c r="R115" s="508" t="n"/>
      <c r="S115" s="508" t="n"/>
      <c r="T115" s="21" t="n"/>
      <c r="U115" s="300" t="inlineStr">
        <is>
          <t>Data</t>
        </is>
      </c>
      <c r="V115" s="508" t="n"/>
      <c r="W115" s="508" t="n"/>
      <c r="X115" s="508" t="n"/>
      <c r="Y115" s="21" t="n"/>
      <c r="Z115" s="301" t="inlineStr">
        <is>
          <t>Assinatura do Responsável</t>
        </is>
      </c>
      <c r="AA115" s="508" t="n"/>
      <c r="AB115" s="508" t="n"/>
      <c r="AC115" s="508" t="n"/>
      <c r="AD115" s="508" t="n"/>
      <c r="AE115" s="509" t="n"/>
      <c r="AF115" s="1" t="n"/>
      <c r="AG115" s="37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 ht="9.949999999999999" customHeight="1" thickBot="1">
      <c r="B116" s="6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" t="n"/>
      <c r="AG116" s="37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 ht="30" customHeight="1">
      <c r="B117" s="153" t="inlineStr">
        <is>
          <t>GERÊNCIA CORPORATIVA DE NORMAS E QUALIDADE. NT.00020.EQTL.Normas e Qualidade ANEXO I - FORMULÁRIO DE SOLICITAÇÃO DE ORÇAMENTO DE MICROGERAÇÃO DISTRIBUÍDA GRUPO B REVISÃO 05. DATA: 13/01/2025.</t>
        </is>
      </c>
      <c r="C117" s="451" t="n"/>
      <c r="D117" s="451" t="n"/>
      <c r="E117" s="451" t="n"/>
      <c r="F117" s="451" t="n"/>
      <c r="G117" s="451" t="n"/>
      <c r="H117" s="451" t="n"/>
      <c r="I117" s="451" t="n"/>
      <c r="J117" s="451" t="n"/>
      <c r="K117" s="451" t="n"/>
      <c r="L117" s="451" t="n"/>
      <c r="M117" s="451" t="n"/>
      <c r="N117" s="451" t="n"/>
      <c r="O117" s="451" t="n"/>
      <c r="P117" s="451" t="n"/>
      <c r="Q117" s="451" t="n"/>
      <c r="R117" s="451" t="n"/>
      <c r="S117" s="451" t="n"/>
      <c r="T117" s="451" t="n"/>
      <c r="U117" s="451" t="n"/>
      <c r="V117" s="451" t="n"/>
      <c r="W117" s="451" t="n"/>
      <c r="X117" s="451" t="n"/>
      <c r="Y117" s="451" t="n"/>
      <c r="Z117" s="451" t="n"/>
      <c r="AA117" s="451" t="n"/>
      <c r="AB117" s="451" t="n"/>
      <c r="AC117" s="451" t="n"/>
      <c r="AD117" s="451" t="n"/>
      <c r="AE117" s="451" t="n"/>
      <c r="AF117" s="451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 ht="15.6" customHeight="1">
      <c r="B126" s="66" t="n"/>
      <c r="C126" s="66" t="n"/>
      <c r="D126" s="65" t="n"/>
      <c r="E126" s="7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 ht="15.6" customHeight="1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2" t="n"/>
      <c r="N127" s="70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154" t="n"/>
      <c r="AB127" s="154" t="n"/>
      <c r="AC127" s="154" t="n"/>
      <c r="AD127" s="154" t="n"/>
      <c r="AE127" s="154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155" t="n"/>
      <c r="M128" s="2" t="n"/>
      <c r="N128" s="71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C129" s="66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155" t="n"/>
      <c r="N129" s="71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C130" s="66" t="n"/>
      <c r="D130" s="71" t="n"/>
      <c r="E130" s="9" t="n"/>
      <c r="F130" s="8" t="n"/>
      <c r="G130" s="8" t="n"/>
      <c r="H130" s="8" t="n"/>
      <c r="I130" s="8" t="n"/>
      <c r="J130" s="9" t="n"/>
      <c r="K130" s="9" t="n"/>
      <c r="L130" s="9" t="n"/>
      <c r="M130" s="2" t="n"/>
      <c r="N130" s="71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C131" s="66" t="n"/>
      <c r="D131" s="154" t="n"/>
      <c r="E131" s="154" t="n"/>
      <c r="F131" s="9" t="n"/>
      <c r="G131" s="9" t="n"/>
      <c r="H131" s="9" t="n"/>
      <c r="I131" s="9" t="n"/>
      <c r="J131" s="2" t="n"/>
      <c r="K131" s="2" t="n"/>
      <c r="L131" s="2" t="n"/>
      <c r="M131" s="2" t="n"/>
      <c r="N131" s="71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C132" s="66" t="n"/>
      <c r="D132" s="71" t="n"/>
      <c r="E132" s="452" t="n"/>
      <c r="F132" s="154" t="n"/>
      <c r="G132" s="154" t="n"/>
      <c r="H132" s="154" t="n"/>
      <c r="I132" s="154" t="n"/>
      <c r="J132" s="2" t="n"/>
      <c r="K132" s="2" t="n"/>
      <c r="L132" s="2" t="n"/>
      <c r="M132" s="2" t="n"/>
      <c r="N132" s="71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C133" s="66" t="n"/>
      <c r="D133" s="2" t="n"/>
      <c r="E133" s="2" t="n"/>
      <c r="F133" s="452" t="n"/>
      <c r="G133" s="452" t="n"/>
      <c r="H133" s="452" t="n"/>
      <c r="I133" s="452" t="n"/>
      <c r="J133" s="2" t="n"/>
      <c r="K133" s="2" t="n"/>
      <c r="L133" s="2" t="n"/>
      <c r="M133" s="2" t="n"/>
      <c r="N133" s="11" t="n"/>
      <c r="O133" s="11" t="n"/>
      <c r="P133" s="11" t="n"/>
      <c r="Q133" s="2" t="n"/>
      <c r="R133" s="66" t="n"/>
      <c r="S133" s="2" t="n"/>
      <c r="T133" s="67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C134" s="66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11" t="n"/>
      <c r="O134" s="11" t="n"/>
      <c r="P134" s="11" t="n"/>
      <c r="Q134" s="452" t="n"/>
      <c r="R134" s="2" t="n"/>
      <c r="S134" s="452" t="n"/>
      <c r="T134" s="67" t="n"/>
      <c r="U134" s="453" t="n"/>
      <c r="V134" s="453" t="n"/>
      <c r="W134" s="453" t="n"/>
      <c r="X134" s="453" t="n"/>
      <c r="Y134" s="453" t="n"/>
      <c r="Z134" s="2" t="n"/>
      <c r="AA134" s="453" t="n"/>
      <c r="AB134" s="453" t="n"/>
      <c r="AC134" s="453" t="n"/>
      <c r="AD134" s="453" t="n"/>
      <c r="AE134" s="453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C135" s="66" t="n"/>
      <c r="D135" s="42" t="n"/>
      <c r="E135" s="8" t="n"/>
      <c r="F135" s="2" t="n"/>
      <c r="G135" s="2" t="n"/>
      <c r="H135" s="2" t="n"/>
      <c r="I135" s="2" t="n"/>
      <c r="J135" s="8" t="n"/>
      <c r="K135" s="8" t="n"/>
      <c r="L135" s="8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C136" s="66" t="n"/>
      <c r="D136" s="2" t="n"/>
      <c r="E136" s="2" t="n"/>
      <c r="F136" s="8" t="n"/>
      <c r="G136" s="8" t="n"/>
      <c r="H136" s="8" t="n"/>
      <c r="I136" s="8" t="n"/>
      <c r="J136" s="2" t="n"/>
      <c r="K136" s="2" t="n"/>
      <c r="L136" s="2" t="n"/>
      <c r="M136" s="2" t="n"/>
      <c r="N136" s="71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8" t="n"/>
      <c r="AB136" s="8" t="n"/>
      <c r="AC136" s="454" t="n"/>
      <c r="AD136" s="454" t="n"/>
      <c r="AE136" s="454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C137" s="66" t="n"/>
      <c r="D137" s="2" t="n"/>
      <c r="E137" s="2" t="n"/>
      <c r="F137" s="8" t="n"/>
      <c r="G137" s="8" t="n"/>
      <c r="H137" s="8" t="n"/>
      <c r="I137" s="8" t="n"/>
      <c r="J137" s="2" t="n"/>
      <c r="K137" s="2" t="n"/>
      <c r="L137" s="2" t="n"/>
      <c r="M137" s="2" t="n"/>
      <c r="N137" s="71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8" t="n"/>
      <c r="AB137" s="8" t="n"/>
      <c r="AC137" s="454" t="n"/>
      <c r="AD137" s="454" t="n"/>
      <c r="AE137" s="454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C138" s="66" t="n"/>
      <c r="D138" s="2" t="n"/>
      <c r="E138" s="2" t="n"/>
      <c r="F138" s="8" t="n"/>
      <c r="G138" s="8" t="n"/>
      <c r="H138" s="8" t="n"/>
      <c r="I138" s="8" t="n"/>
      <c r="J138" s="2" t="n"/>
      <c r="K138" s="2" t="n"/>
      <c r="L138" s="2" t="n"/>
      <c r="M138" s="2" t="n"/>
      <c r="N138" s="71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8" t="n"/>
      <c r="AB138" s="8" t="n"/>
      <c r="AC138" s="454" t="n"/>
      <c r="AD138" s="454" t="n"/>
      <c r="AE138" s="454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B147" s="66" t="n"/>
      <c r="AF147" s="66" t="n"/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B148" s="66" t="n"/>
      <c r="AF148" s="66" t="n"/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B149" s="66" t="n"/>
      <c r="AF149" s="66" t="n"/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B150" s="66" t="n"/>
      <c r="AF150" s="66" t="n"/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B151" s="66" t="n"/>
      <c r="AF151" s="66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B152" s="66" t="n"/>
      <c r="AF152" s="66" t="n"/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B153" s="66" t="n"/>
      <c r="AF153" s="66" t="n"/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B154" s="66" t="n"/>
      <c r="AF154" s="66" t="n"/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B155" s="66" t="n"/>
      <c r="AF155" s="66" t="n"/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B156" s="66" t="n"/>
      <c r="AF156" s="66" t="n"/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B157" s="66" t="n"/>
      <c r="AF157" s="66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B158" s="66" t="n"/>
      <c r="AF158" s="66" t="n"/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B159" s="66" t="n"/>
      <c r="AF159" s="66" t="n"/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B160" s="66" t="n"/>
      <c r="AF160" s="66" t="n"/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  <row r="1276"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59" t="n"/>
      <c r="BR1276" s="59" t="n"/>
      <c r="BS1276" s="59" t="n"/>
      <c r="BT1276" s="59" t="n"/>
      <c r="BU1276" s="59" t="n"/>
    </row>
    <row r="1277"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59" t="n"/>
      <c r="BR1277" s="59" t="n"/>
      <c r="BS1277" s="59" t="n"/>
      <c r="BT1277" s="59" t="n"/>
      <c r="BU1277" s="59" t="n"/>
    </row>
    <row r="1278"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59" t="n"/>
      <c r="BR1278" s="59" t="n"/>
      <c r="BS1278" s="59" t="n"/>
      <c r="BT1278" s="59" t="n"/>
      <c r="BU1278" s="59" t="n"/>
    </row>
    <row r="1279"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59" t="n"/>
      <c r="BR1279" s="59" t="n"/>
      <c r="BS1279" s="59" t="n"/>
      <c r="BT1279" s="59" t="n"/>
      <c r="BU1279" s="59" t="n"/>
    </row>
    <row r="1280"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59" t="n"/>
      <c r="BR1280" s="59" t="n"/>
      <c r="BS1280" s="59" t="n"/>
      <c r="BT1280" s="59" t="n"/>
      <c r="BU1280" s="59" t="n"/>
    </row>
    <row r="1281"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59" t="n"/>
      <c r="BR1281" s="59" t="n"/>
      <c r="BS1281" s="59" t="n"/>
      <c r="BT1281" s="59" t="n"/>
      <c r="BU1281" s="59" t="n"/>
    </row>
    <row r="1282"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59" t="n"/>
      <c r="BR1282" s="59" t="n"/>
      <c r="BS1282" s="59" t="n"/>
      <c r="BT1282" s="59" t="n"/>
      <c r="BU1282" s="59" t="n"/>
    </row>
    <row r="1283"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59" t="n"/>
      <c r="BR1283" s="59" t="n"/>
      <c r="BS1283" s="59" t="n"/>
      <c r="BT1283" s="59" t="n"/>
      <c r="BU1283" s="59" t="n"/>
    </row>
    <row r="1284"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59" t="n"/>
      <c r="BR1284" s="59" t="n"/>
      <c r="BS1284" s="59" t="n"/>
      <c r="BT1284" s="59" t="n"/>
      <c r="BU1284" s="59" t="n"/>
    </row>
    <row r="1285"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59" t="n"/>
      <c r="BR1285" s="59" t="n"/>
      <c r="BS1285" s="59" t="n"/>
      <c r="BT1285" s="59" t="n"/>
      <c r="BU1285" s="59" t="n"/>
    </row>
    <row r="1286"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59" t="n"/>
      <c r="BR1286" s="59" t="n"/>
      <c r="BS1286" s="59" t="n"/>
      <c r="BT1286" s="59" t="n"/>
      <c r="BU1286" s="59" t="n"/>
    </row>
    <row r="1287"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59" t="n"/>
      <c r="BR1287" s="59" t="n"/>
      <c r="BS1287" s="59" t="n"/>
      <c r="BT1287" s="59" t="n"/>
      <c r="BU1287" s="59" t="n"/>
    </row>
    <row r="1288"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59" t="n"/>
      <c r="BR1288" s="59" t="n"/>
      <c r="BS1288" s="59" t="n"/>
      <c r="BT1288" s="59" t="n"/>
      <c r="BU1288" s="59" t="n"/>
    </row>
    <row r="1289"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59" t="n"/>
      <c r="BR1289" s="59" t="n"/>
      <c r="BS1289" s="59" t="n"/>
      <c r="BT1289" s="59" t="n"/>
      <c r="BU1289" s="59" t="n"/>
    </row>
    <row r="1290"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59" t="n"/>
      <c r="BR1290" s="59" t="n"/>
      <c r="BS1290" s="59" t="n"/>
      <c r="BT1290" s="59" t="n"/>
      <c r="BU1290" s="59" t="n"/>
    </row>
    <row r="1291">
      <c r="AH1291" s="59" t="n"/>
      <c r="AI1291" s="59" t="n"/>
      <c r="AJ1291" s="59" t="n"/>
      <c r="AK1291" s="59" t="n"/>
      <c r="AL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59" t="n"/>
      <c r="BR1291" s="59" t="n"/>
      <c r="BS1291" s="59" t="n"/>
      <c r="BT1291" s="59" t="n"/>
      <c r="BU1291" s="59" t="n"/>
    </row>
    <row r="1292">
      <c r="AH1292" s="59" t="n"/>
      <c r="AI1292" s="59" t="n"/>
      <c r="AJ1292" s="59" t="n"/>
      <c r="AK1292" s="59" t="n"/>
      <c r="AL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59" t="n"/>
      <c r="BR1292" s="59" t="n"/>
      <c r="BS1292" s="59" t="n"/>
      <c r="BT1292" s="59" t="n"/>
      <c r="BU1292" s="59" t="n"/>
    </row>
    <row r="1293">
      <c r="AH1293" s="59" t="n"/>
      <c r="AI1293" s="59" t="n"/>
      <c r="AJ1293" s="59" t="n"/>
      <c r="AK1293" s="59" t="n"/>
      <c r="AL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59" t="n"/>
      <c r="BR1293" s="59" t="n"/>
      <c r="BS1293" s="59" t="n"/>
      <c r="BT1293" s="59" t="n"/>
      <c r="BU1293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+oyu/rwdNnkIGcY8P4jhyw==" formatRows="0" sort="1" spinCount="100000" hashValue="VmubYtxZDlqq/rjdGCpu6Ml7OOGKTVPelLiWWldef1TW4i+qvvGILH5nwrGp9N6vGROdn85fC/7Wdf+brSAA4A=="/>
  <mergeCells count="191">
    <mergeCell ref="C109:N109"/>
    <mergeCell ref="C71:U71"/>
    <mergeCell ref="C41:K41"/>
    <mergeCell ref="F29:G29"/>
    <mergeCell ref="C31:E31"/>
    <mergeCell ref="C87:AE87"/>
    <mergeCell ref="V66:AE66"/>
    <mergeCell ref="O105:AE107"/>
    <mergeCell ref="N17:P17"/>
    <mergeCell ref="T29:AA29"/>
    <mergeCell ref="C43:K43"/>
    <mergeCell ref="W127:AA127"/>
    <mergeCell ref="C104:AE104"/>
    <mergeCell ref="G25:Y25"/>
    <mergeCell ref="F31:H31"/>
    <mergeCell ref="C66:U66"/>
    <mergeCell ref="C23:E23"/>
    <mergeCell ref="F57:U57"/>
    <mergeCell ref="C35:AE35"/>
    <mergeCell ref="C110:N110"/>
    <mergeCell ref="C77:U77"/>
    <mergeCell ref="T31:AE31"/>
    <mergeCell ref="P43:X43"/>
    <mergeCell ref="L23:AE23"/>
    <mergeCell ref="C57:E57"/>
    <mergeCell ref="AD95:AE95"/>
    <mergeCell ref="V64:AE64"/>
    <mergeCell ref="V78:AE78"/>
    <mergeCell ref="W37:AE37"/>
    <mergeCell ref="M41:Q41"/>
    <mergeCell ref="F27:M27"/>
    <mergeCell ref="Z13:AA13"/>
    <mergeCell ref="AB44:AE44"/>
    <mergeCell ref="Y10:AB10"/>
    <mergeCell ref="C96:AC96"/>
    <mergeCell ref="C108:N108"/>
    <mergeCell ref="F17:L17"/>
    <mergeCell ref="C75:U75"/>
    <mergeCell ref="I53:U53"/>
    <mergeCell ref="V49:AE49"/>
    <mergeCell ref="AA25:AD25"/>
    <mergeCell ref="U115:X115"/>
    <mergeCell ref="C112:N112"/>
    <mergeCell ref="AB13:AE13"/>
    <mergeCell ref="C70:U70"/>
    <mergeCell ref="C40:K40"/>
    <mergeCell ref="C92:AE92"/>
    <mergeCell ref="C19:F19"/>
    <mergeCell ref="G49:O49"/>
    <mergeCell ref="C93:AC93"/>
    <mergeCell ref="Y33:AE33"/>
    <mergeCell ref="H23:K23"/>
    <mergeCell ref="O109:S114"/>
    <mergeCell ref="C98:AE98"/>
    <mergeCell ref="Z43:AA43"/>
    <mergeCell ref="AC53:AD53"/>
    <mergeCell ref="C90:AC90"/>
    <mergeCell ref="I15:L15"/>
    <mergeCell ref="V68:AE68"/>
    <mergeCell ref="T13:Y13"/>
    <mergeCell ref="C106:N106"/>
    <mergeCell ref="AC55:AD55"/>
    <mergeCell ref="M40:Q40"/>
    <mergeCell ref="V67:AE67"/>
    <mergeCell ref="Q15:R15"/>
    <mergeCell ref="C12:P12"/>
    <mergeCell ref="C74:U74"/>
    <mergeCell ref="V72:AE72"/>
    <mergeCell ref="M43:O43"/>
    <mergeCell ref="V69:AE69"/>
    <mergeCell ref="C114:N115"/>
    <mergeCell ref="B117:AF117"/>
    <mergeCell ref="D128:L128"/>
    <mergeCell ref="C33:N33"/>
    <mergeCell ref="AB29:AD29"/>
    <mergeCell ref="R10:W10"/>
    <mergeCell ref="D15:E15"/>
    <mergeCell ref="C55:U55"/>
    <mergeCell ref="P33:W33"/>
    <mergeCell ref="AC27:AD27"/>
    <mergeCell ref="V15:AE15"/>
    <mergeCell ref="C102:D102"/>
    <mergeCell ref="W55:AB55"/>
    <mergeCell ref="X27:AB27"/>
    <mergeCell ref="V51:AE51"/>
    <mergeCell ref="AD96:AE96"/>
    <mergeCell ref="V70:AE70"/>
    <mergeCell ref="T15:U15"/>
    <mergeCell ref="Z115:AE115"/>
    <mergeCell ref="C44:K44"/>
    <mergeCell ref="C94:AC94"/>
    <mergeCell ref="C83:AE83"/>
    <mergeCell ref="C67:U67"/>
    <mergeCell ref="S40:X40"/>
    <mergeCell ref="C72:U72"/>
    <mergeCell ref="M37:U37"/>
    <mergeCell ref="V71:AE71"/>
    <mergeCell ref="C69:U69"/>
    <mergeCell ref="C10:P10"/>
    <mergeCell ref="AC9:AE9"/>
    <mergeCell ref="C95:AC95"/>
    <mergeCell ref="C78:U78"/>
    <mergeCell ref="AD90:AE90"/>
    <mergeCell ref="C100:AE100"/>
    <mergeCell ref="F3:AE5"/>
    <mergeCell ref="V73:AE73"/>
    <mergeCell ref="C47:AE47"/>
    <mergeCell ref="G51:O51"/>
    <mergeCell ref="C38:K38"/>
    <mergeCell ref="C9:P9"/>
    <mergeCell ref="C28:E28"/>
    <mergeCell ref="M38:U38"/>
    <mergeCell ref="Y9:AB9"/>
    <mergeCell ref="T27:V27"/>
    <mergeCell ref="G15:H15"/>
    <mergeCell ref="C91:AC91"/>
    <mergeCell ref="C53:H53"/>
    <mergeCell ref="Z40:AE40"/>
    <mergeCell ref="C64:U64"/>
    <mergeCell ref="C79:U79"/>
    <mergeCell ref="Q49:U49"/>
    <mergeCell ref="W53:AB53"/>
    <mergeCell ref="C73:U73"/>
    <mergeCell ref="V77:AE77"/>
    <mergeCell ref="Z44:AA44"/>
    <mergeCell ref="M44:O44"/>
    <mergeCell ref="C63:U63"/>
    <mergeCell ref="AC21:AD21"/>
    <mergeCell ref="G19:AE19"/>
    <mergeCell ref="C107:N107"/>
    <mergeCell ref="P44:X44"/>
    <mergeCell ref="Z41:AE41"/>
    <mergeCell ref="Z109:AE114"/>
    <mergeCell ref="C7:AE7"/>
    <mergeCell ref="Q59:T59"/>
    <mergeCell ref="E102:I102"/>
    <mergeCell ref="C51:F51"/>
    <mergeCell ref="C13:P13"/>
    <mergeCell ref="C101:D101"/>
    <mergeCell ref="C76:U76"/>
    <mergeCell ref="P29:Q29"/>
    <mergeCell ref="J31:S31"/>
    <mergeCell ref="Y38:AC38"/>
    <mergeCell ref="V75:AE75"/>
    <mergeCell ref="U109:X114"/>
    <mergeCell ref="AC57:AD57"/>
    <mergeCell ref="R13:S13"/>
    <mergeCell ref="AD94:AE94"/>
    <mergeCell ref="C105:N105"/>
    <mergeCell ref="Z17:AE17"/>
    <mergeCell ref="W21:AB21"/>
    <mergeCell ref="AC10:AE10"/>
    <mergeCell ref="C27:E27"/>
    <mergeCell ref="V65:AE65"/>
    <mergeCell ref="C49:F49"/>
    <mergeCell ref="T17:Y17"/>
    <mergeCell ref="Q51:U51"/>
    <mergeCell ref="C17:E17"/>
    <mergeCell ref="C21:U21"/>
    <mergeCell ref="C68:U68"/>
    <mergeCell ref="C85:AE85"/>
    <mergeCell ref="AD89:AE89"/>
    <mergeCell ref="V76:AE76"/>
    <mergeCell ref="N15:P15"/>
    <mergeCell ref="R12:AE12"/>
    <mergeCell ref="C37:K37"/>
    <mergeCell ref="V79:AE79"/>
    <mergeCell ref="C84:AE84"/>
    <mergeCell ref="S41:X41"/>
    <mergeCell ref="R9:W9"/>
    <mergeCell ref="W57:AB57"/>
    <mergeCell ref="C111:N111"/>
    <mergeCell ref="C25:F25"/>
    <mergeCell ref="O27:S27"/>
    <mergeCell ref="C46:AE46"/>
    <mergeCell ref="V63:AE63"/>
    <mergeCell ref="C65:U65"/>
    <mergeCell ref="E101:I101"/>
    <mergeCell ref="J29:O29"/>
    <mergeCell ref="U59:W59"/>
    <mergeCell ref="AD91:AE91"/>
    <mergeCell ref="C61:AE61"/>
    <mergeCell ref="Y59:AE59"/>
    <mergeCell ref="V74:AE74"/>
    <mergeCell ref="AB43:AE43"/>
    <mergeCell ref="W38:X38"/>
    <mergeCell ref="C89:AC89"/>
    <mergeCell ref="C29:E29"/>
    <mergeCell ref="O115:S115"/>
    <mergeCell ref="AD93:AE93"/>
    <mergeCell ref="C81:AE81"/>
  </mergeCells>
  <conditionalFormatting sqref="C21">
    <cfRule type="containsBlanks" priority="70" dxfId="0">
      <formula>LEN(TRIM(C21))=0</formula>
    </cfRule>
  </conditionalFormatting>
  <conditionalFormatting sqref="C38:K38">
    <cfRule type="containsBlanks" priority="112" dxfId="0">
      <formula>LEN(TRIM(C38))=0</formula>
    </cfRule>
  </conditionalFormatting>
  <conditionalFormatting sqref="C41:K41">
    <cfRule type="containsBlanks" priority="100" dxfId="0">
      <formula>LEN(TRIM(C41))=0</formula>
    </cfRule>
  </conditionalFormatting>
  <conditionalFormatting sqref="C44:K44">
    <cfRule type="containsBlanks" priority="95" dxfId="0">
      <formula>LEN(TRIM(C44))=0</formula>
    </cfRule>
  </conditionalFormatting>
  <conditionalFormatting sqref="C10:P10 F31 T31">
    <cfRule type="containsBlanks" priority="115" dxfId="0">
      <formula>LEN(TRIM(C10))=0</formula>
    </cfRule>
  </conditionalFormatting>
  <conditionalFormatting sqref="C13:P13">
    <cfRule type="containsBlanks" priority="103" dxfId="0">
      <formula>LEN(TRIM(C13))=0</formula>
    </cfRule>
  </conditionalFormatting>
  <conditionalFormatting sqref="D15:E15">
    <cfRule type="containsBlanks" priority="105" dxfId="0">
      <formula>LEN(TRIM(D15))=0</formula>
    </cfRule>
  </conditionalFormatting>
  <conditionalFormatting sqref="F17">
    <cfRule type="containsBlanks" priority="69" dxfId="0">
      <formula>LEN(TRIM(F17))=0</formula>
    </cfRule>
  </conditionalFormatting>
  <conditionalFormatting sqref="F23">
    <cfRule type="containsBlanks" priority="68" dxfId="60">
      <formula>LEN(TRIM(F23))=0</formula>
    </cfRule>
  </conditionalFormatting>
  <conditionalFormatting sqref="F27">
    <cfRule type="containsBlanks" priority="116" dxfId="0">
      <formula>LEN(TRIM(F27))=0</formula>
    </cfRule>
  </conditionalFormatting>
  <conditionalFormatting sqref="F29:G29">
    <cfRule type="containsBlanks" priority="73" dxfId="0">
      <formula>LEN(TRIM(F29))=0</formula>
    </cfRule>
  </conditionalFormatting>
  <conditionalFormatting sqref="G19">
    <cfRule type="containsBlanks" priority="77" dxfId="0">
      <formula>LEN(TRIM(G19))=0</formula>
    </cfRule>
  </conditionalFormatting>
  <conditionalFormatting sqref="G25">
    <cfRule type="containsBlanks" priority="71" dxfId="0">
      <formula>LEN(TRIM(G25))=0</formula>
    </cfRule>
  </conditionalFormatting>
  <conditionalFormatting sqref="G49">
    <cfRule type="containsBlanks" priority="91" dxfId="0">
      <formula>LEN(TRIM(G49))=0</formula>
    </cfRule>
  </conditionalFormatting>
  <conditionalFormatting sqref="G51">
    <cfRule type="containsBlanks" priority="62" dxfId="0">
      <formula>LEN(TRIM(G51))=0</formula>
    </cfRule>
  </conditionalFormatting>
  <conditionalFormatting sqref="I53">
    <cfRule type="containsBlanks" priority="90" dxfId="0">
      <formula>LEN(TRIM(I53))=0</formula>
    </cfRule>
  </conditionalFormatting>
  <conditionalFormatting sqref="I15:L15">
    <cfRule type="containsBlanks" priority="108" dxfId="0">
      <formula>LEN(TRIM(I15))=0</formula>
    </cfRule>
  </conditionalFormatting>
  <conditionalFormatting sqref="M38 AE38">
    <cfRule type="containsBlanks" priority="109" dxfId="0">
      <formula>LEN(TRIM(M38))=0</formula>
    </cfRule>
  </conditionalFormatting>
  <conditionalFormatting sqref="N17:P17">
    <cfRule type="cellIs" priority="34" operator="equal" dxfId="32">
      <formula>"Potência Geração"</formula>
    </cfRule>
  </conditionalFormatting>
  <conditionalFormatting sqref="P29">
    <cfRule type="containsBlanks" priority="117" dxfId="0">
      <formula>LEN(TRIM(P29))=0</formula>
    </cfRule>
  </conditionalFormatting>
  <conditionalFormatting sqref="P33">
    <cfRule type="containsBlanks" priority="110" dxfId="0">
      <formula>LEN(TRIM(P33))=0</formula>
    </cfRule>
  </conditionalFormatting>
  <conditionalFormatting sqref="P43:X44">
    <cfRule type="containsBlanks" priority="96" dxfId="0">
      <formula>LEN(TRIM(P43))=0</formula>
    </cfRule>
  </conditionalFormatting>
  <conditionalFormatting sqref="Q17">
    <cfRule type="expression" priority="30" dxfId="0">
      <formula>AND($R$17="kW",$Q$17="")</formula>
    </cfRule>
    <cfRule type="expression" priority="31" dxfId="12">
      <formula>$R$17="kW"</formula>
    </cfRule>
  </conditionalFormatting>
  <conditionalFormatting sqref="Q15:R15">
    <cfRule type="containsBlanks" priority="107" dxfId="0">
      <formula>LEN(TRIM(Q15))=0</formula>
    </cfRule>
  </conditionalFormatting>
  <conditionalFormatting sqref="R17">
    <cfRule type="cellIs" priority="33" operator="equal" dxfId="12">
      <formula>"kW"</formula>
    </cfRule>
  </conditionalFormatting>
  <conditionalFormatting sqref="R29">
    <cfRule type="containsBlanks" priority="94" dxfId="0">
      <formula>LEN(TRIM(R29))=0</formula>
    </cfRule>
  </conditionalFormatting>
  <conditionalFormatting sqref="R10:W10">
    <cfRule type="containsBlanks" priority="102" dxfId="0">
      <formula>LEN(TRIM(R10))=0</formula>
    </cfRule>
  </conditionalFormatting>
  <conditionalFormatting sqref="S41:X41">
    <cfRule type="containsBlanks" priority="99" dxfId="0">
      <formula>LEN(TRIM(S41))=0</formula>
    </cfRule>
  </conditionalFormatting>
  <conditionalFormatting sqref="T13">
    <cfRule type="containsBlanks" priority="104" dxfId="0">
      <formula>LEN(TRIM(T13))=0</formula>
    </cfRule>
  </conditionalFormatting>
  <conditionalFormatting sqref="T27">
    <cfRule type="containsBlanks" priority="89" dxfId="0">
      <formula>LEN(TRIM(T27))=0</formula>
    </cfRule>
  </conditionalFormatting>
  <conditionalFormatting sqref="U59">
    <cfRule type="expression" priority="2" dxfId="0">
      <formula>$J$57="PG ACIMA DO LIMITE DE 10 kW"</formula>
    </cfRule>
    <cfRule type="expression" priority="3" dxfId="0">
      <formula>$J$57="NOK: PG &gt; PD"</formula>
    </cfRule>
    <cfRule type="expression" priority="4" dxfId="1">
      <formula>$J$57="OK: PG ≤ PD"</formula>
    </cfRule>
    <cfRule type="containsBlanks" priority="5" dxfId="0">
      <formula>LEN(TRIM(U59))=0</formula>
    </cfRule>
  </conditionalFormatting>
  <conditionalFormatting sqref="V15:AE15">
    <cfRule type="containsBlanks" priority="106" dxfId="0">
      <formula>LEN(TRIM(V15))=0</formula>
    </cfRule>
  </conditionalFormatting>
  <conditionalFormatting sqref="W21:AB21 AF21:AP21">
    <cfRule type="cellIs" priority="29" operator="equal" dxfId="32">
      <formula>"Potência de Geração Existente"</formula>
    </cfRule>
  </conditionalFormatting>
  <conditionalFormatting sqref="Y33">
    <cfRule type="containsBlanks" priority="111" dxfId="0">
      <formula>LEN(TRIM(Y33))=0</formula>
    </cfRule>
  </conditionalFormatting>
  <conditionalFormatting sqref="Y59">
    <cfRule type="containsBlanks" priority="9" dxfId="30">
      <formula>LEN(TRIM(Y59))=0</formula>
    </cfRule>
    <cfRule type="containsText" priority="7" operator="containsText" dxfId="0" text="PGT ACIMA DO LIMITE DO GRUPO B">
      <formula>NOT(ISERROR(SEARCH("PGT ACIMA DO LIMITE DO GRUPO B",Y59)))</formula>
    </cfRule>
    <cfRule type="containsText" priority="6" operator="containsText" dxfId="0" text="NOK: PGT &gt; PD">
      <formula>NOT(ISERROR(SEARCH("NOK: PGT &gt; PD",Y59)))</formula>
    </cfRule>
    <cfRule type="containsText" priority="8" operator="containsText" dxfId="1" text="OK: PGT ≤ PD">
      <formula>NOT(ISERROR(SEARCH("OK: PGT ≤ PD",Y59)))</formula>
    </cfRule>
  </conditionalFormatting>
  <conditionalFormatting sqref="Y38:AC38">
    <cfRule type="containsBlanks" priority="114" dxfId="0">
      <formula>LEN(TRIM(Y38))=0</formula>
    </cfRule>
  </conditionalFormatting>
  <conditionalFormatting sqref="AB29">
    <cfRule type="containsBlanks" priority="88" dxfId="0">
      <formula>LEN(TRIM(AB29))=0</formula>
    </cfRule>
    <cfRule type="cellIs" priority="86" operator="equal" dxfId="0">
      <formula>0</formula>
    </cfRule>
    <cfRule type="containsErrors" priority="87" dxfId="0">
      <formula>ISERROR(AB29)</formula>
    </cfRule>
  </conditionalFormatting>
  <conditionalFormatting sqref="AB44">
    <cfRule type="containsBlanks" priority="98" dxfId="0">
      <formula>LEN(TRIM(AB44))=0</formula>
    </cfRule>
  </conditionalFormatting>
  <conditionalFormatting sqref="AB43:AE43">
    <cfRule type="containsBlanks" priority="97" dxfId="0">
      <formula>LEN(TRIM(AB43))=0</formula>
    </cfRule>
  </conditionalFormatting>
  <conditionalFormatting sqref="AC21">
    <cfRule type="expression" priority="27" dxfId="0">
      <formula>AND($AE$21="kW",$AC$21="")</formula>
    </cfRule>
  </conditionalFormatting>
  <conditionalFormatting sqref="AC27">
    <cfRule type="containsBlanks" priority="113" dxfId="0">
      <formula>LEN(TRIM(AC27))=0</formula>
    </cfRule>
  </conditionalFormatting>
  <conditionalFormatting sqref="AC21:AD21">
    <cfRule type="expression" priority="28" dxfId="12">
      <formula>$AE$21="kW"</formula>
    </cfRule>
  </conditionalFormatting>
  <conditionalFormatting sqref="AC9:AE10">
    <cfRule type="containsBlanks" priority="101" dxfId="0">
      <formula>LEN(TRIM(AC9))=0</formula>
    </cfRule>
  </conditionalFormatting>
  <conditionalFormatting sqref="AD89:AE91">
    <cfRule type="containsBlanks" priority="64" dxfId="0">
      <formula>LEN(TRIM(AD89))=0</formula>
    </cfRule>
  </conditionalFormatting>
  <conditionalFormatting sqref="AD91:AE91">
    <cfRule type="containsText" priority="63" operator="containsText" dxfId="0" text="NÃO">
      <formula>NOT(ISERROR(SEARCH("NÃO",AD91)))</formula>
    </cfRule>
  </conditionalFormatting>
  <conditionalFormatting sqref="AD93:AE96">
    <cfRule type="containsBlanks" priority="19" dxfId="0">
      <formula>LEN(TRIM(AD93))=0</formula>
    </cfRule>
  </conditionalFormatting>
  <conditionalFormatting sqref="AD96:AE96">
    <cfRule type="containsText" priority="18" operator="containsText" dxfId="0" text="NÃO">
      <formula>NOT(ISERROR(SEARCH("NÃO",AD96)))</formula>
    </cfRule>
  </conditionalFormatting>
  <conditionalFormatting sqref="AE21">
    <cfRule type="cellIs" priority="26" operator="equal" dxfId="12">
      <formula>"kW"</formula>
    </cfRule>
  </conditionalFormatting>
  <conditionalFormatting sqref="AE27">
    <cfRule type="containsBlanks" priority="92" dxfId="0">
      <formula>LEN(TRIM(AE27))=0</formula>
    </cfRule>
  </conditionalFormatting>
  <conditionalFormatting sqref="AE29">
    <cfRule type="containsBlanks" priority="93" dxfId="0">
      <formula>LEN(TRIM(AE29))=0</formula>
    </cfRule>
  </conditionalFormatting>
  <conditionalFormatting sqref="AE53">
    <cfRule type="containsBlanks" priority="45" dxfId="0">
      <formula>LEN(TRIM(AE53))=0</formula>
    </cfRule>
  </conditionalFormatting>
  <conditionalFormatting sqref="AE55">
    <cfRule type="containsBlanks" priority="43" dxfId="0">
      <formula>LEN(TRIM(AE55))=0</formula>
    </cfRule>
  </conditionalFormatting>
  <conditionalFormatting sqref="AE57">
    <cfRule type="containsBlanks" priority="1" dxfId="0">
      <formula>LEN(TRIM(AE57))=0</formula>
    </cfRule>
  </conditionalFormatting>
  <dataValidations count="12">
    <dataValidation sqref="T27" showDropDown="0" showInputMessage="1" showErrorMessage="1" allowBlank="1" type="list">
      <formula1>$AJ$3:$AJ$5</formula1>
    </dataValidation>
    <dataValidation sqref="F31:H31" showDropDown="0" showInputMessage="1" showErrorMessage="1" allowBlank="1" type="list">
      <formula1>$AJ$13:$AJ$14</formula1>
    </dataValidation>
    <dataValidation sqref="I53" showDropDown="0" showInputMessage="1" showErrorMessage="1" allowBlank="1" type="list">
      <formula1>$AL$12:$AL$15</formula1>
    </dataValidation>
    <dataValidation sqref="F27" showDropDown="0" showInputMessage="1" showErrorMessage="1" allowBlank="1" type="list">
      <formula1>$AL$3:$AL$10</formula1>
    </dataValidation>
    <dataValidation sqref="F23 AD89:AE91 AD93:AE96" showDropDown="0" showInputMessage="1" showErrorMessage="1" allowBlank="1" type="list">
      <formula1>$AJ$7:$AJ$8</formula1>
    </dataValidation>
    <dataValidation sqref="P29:Q29" showDropDown="0" showInputMessage="1" showErrorMessage="1" allowBlank="1" type="list">
      <formula1>$AI$2:$AI$16</formula1>
    </dataValidation>
    <dataValidation sqref="AC27:AD27" showDropDown="0" showInputMessage="1" showErrorMessage="1" allowBlank="1" type="list">
      <formula1>$AJ$10:$AJ$12</formula1>
    </dataValidation>
    <dataValidation sqref="F17" showDropDown="0" showInputMessage="1" showErrorMessage="1" allowBlank="1" type="list">
      <formula1>$AN$21:$AN$22</formula1>
    </dataValidation>
    <dataValidation sqref="Q15:R15" showDropDown="0" showInputMessage="1" showErrorMessage="1" allowBlank="1" type="list">
      <formula1>$AK$3:$AK$9</formula1>
    </dataValidation>
    <dataValidation sqref="G51:O51" showDropDown="0" showInputMessage="1" showErrorMessage="1" allowBlank="1" type="list">
      <formula1>$AM$19:$AM$22</formula1>
    </dataValidation>
    <dataValidation sqref="G49" showDropDown="0" showInputMessage="1" showErrorMessage="1" allowBlank="1" type="list">
      <formula1>$AM$11:$AM$17</formula1>
    </dataValidation>
    <dataValidation sqref="G19:AE19" showDropDown="0" showInputMessage="1" showErrorMessage="1" allowBlank="1" type="list">
      <formula1>$AN$3:$AN$7</formula1>
    </dataValidation>
  </dataValidation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35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405"/>
  <sheetViews>
    <sheetView showGridLines="0" showZeros="0" view="pageBreakPreview" zoomScale="110" zoomScaleNormal="100" zoomScaleSheetLayoutView="110" workbookViewId="0">
      <selection activeCell="K3" sqref="K3:M3"/>
    </sheetView>
  </sheetViews>
  <sheetFormatPr baseColWidth="8" defaultRowHeight="14.45"/>
  <cols>
    <col width="2" customWidth="1" min="1" max="1"/>
    <col width="7.140625" bestFit="1" customWidth="1" min="2" max="2"/>
    <col width="11.7109375" customWidth="1" style="78" min="3" max="3"/>
    <col width="3.140625" customWidth="1" min="4" max="4"/>
    <col width="5.85546875" customWidth="1" min="5" max="6"/>
    <col width="16.5703125" customWidth="1" min="7" max="7"/>
    <col width="8.85546875" customWidth="1" min="8" max="8"/>
    <col width="10.42578125" customWidth="1" min="9" max="9"/>
    <col width="6" customWidth="1" min="10" max="10"/>
    <col width="9.85546875" customWidth="1" min="11" max="11"/>
    <col width="16" customWidth="1" min="12" max="12"/>
    <col width="21.28515625" customWidth="1" min="13" max="13"/>
    <col width="1.5703125" customWidth="1" min="14" max="14"/>
    <col hidden="1" width="34.7109375" customWidth="1" style="78" min="16" max="16"/>
  </cols>
  <sheetData>
    <row r="1" ht="6" customHeight="1" thickBot="1"/>
    <row r="2" ht="34.5" customHeight="1">
      <c r="A2" s="43" t="n"/>
      <c r="B2" s="409" t="n"/>
      <c r="C2" s="510" t="n"/>
      <c r="D2" s="511" t="inlineStr">
        <is>
          <t>LISTA DE RATEIO PARA AS UNIDADES CONSUMIDORAS PARTICIPANTES DO SISTEMA DE COMPENSAÇÃO
(Autoconsumo Remoto, Geração Compartilhada e EMUC)</t>
        </is>
      </c>
      <c r="E2" s="510" t="n"/>
      <c r="F2" s="510" t="n"/>
      <c r="G2" s="510" t="n"/>
      <c r="H2" s="510" t="n"/>
      <c r="I2" s="510" t="n"/>
      <c r="J2" s="510" t="n"/>
      <c r="K2" s="510" t="n"/>
      <c r="L2" s="510" t="n"/>
      <c r="M2" s="512" t="n"/>
      <c r="N2" s="43" t="n"/>
      <c r="O2" s="43" t="n"/>
      <c r="P2" s="44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</row>
    <row r="3">
      <c r="A3" s="43" t="n"/>
      <c r="B3" s="513" t="inlineStr">
        <is>
          <t>Conta Contrato da UC geradora</t>
        </is>
      </c>
      <c r="C3" s="419" t="n"/>
      <c r="D3" s="419" t="n"/>
      <c r="E3" s="419" t="n"/>
      <c r="F3" s="420" t="n"/>
      <c r="G3" s="514" t="n">
        <v>11517621</v>
      </c>
      <c r="H3" s="423" t="n"/>
      <c r="I3" s="515" t="inlineStr">
        <is>
          <t>Enquadramento</t>
        </is>
      </c>
      <c r="J3" s="420" t="n"/>
      <c r="K3" s="516" t="inlineStr">
        <is>
          <t>Geração Compartilhada</t>
        </is>
      </c>
      <c r="L3" s="422" t="n"/>
      <c r="M3" s="517" t="n"/>
      <c r="N3" s="43" t="n"/>
      <c r="O3" s="43" t="n"/>
      <c r="P3" s="44" t="inlineStr">
        <is>
          <t>Autoconsumo Remoto</t>
        </is>
      </c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</row>
    <row r="4">
      <c r="A4" s="43" t="n"/>
      <c r="B4" s="513" t="inlineStr">
        <is>
          <t>Local da solicitação</t>
        </is>
      </c>
      <c r="C4" s="419" t="n"/>
      <c r="D4" s="420" t="n"/>
      <c r="E4" s="514" t="inlineStr">
        <is>
          <t>RUA DA UNIÃO, QD. 171, LT. 15, S/N, JARDIM NOVA ESPERANÇA, GOIANIA - GO</t>
        </is>
      </c>
      <c r="F4" s="422" t="n"/>
      <c r="G4" s="422" t="n"/>
      <c r="H4" s="422" t="n"/>
      <c r="I4" s="422" t="n"/>
      <c r="J4" s="422" t="n"/>
      <c r="K4" s="423" t="n"/>
      <c r="L4" s="98" t="inlineStr">
        <is>
          <t>Data solicitação</t>
        </is>
      </c>
      <c r="M4" s="114" t="n">
        <v>45860</v>
      </c>
      <c r="N4" s="43" t="n"/>
      <c r="O4" s="43" t="n"/>
      <c r="P4" s="44" t="inlineStr">
        <is>
          <t>Geração Compartilhada</t>
        </is>
      </c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</row>
    <row r="5">
      <c r="A5" s="43" t="n"/>
      <c r="B5" s="513" t="inlineStr">
        <is>
          <t>Forma de alocação dos créditos</t>
        </is>
      </c>
      <c r="C5" s="419" t="n"/>
      <c r="D5" s="419" t="n"/>
      <c r="E5" s="419" t="n"/>
      <c r="F5" s="420" t="n"/>
      <c r="G5" s="514" t="inlineStr">
        <is>
          <t>Percentual do Excedente</t>
        </is>
      </c>
      <c r="H5" s="423" t="n"/>
      <c r="I5" s="518">
        <f>IF(G5="","",IF(G5="Ordem de Prioridade","Não preencher as porcentagens, será considerada a ordem","Prencher as porcentagens"))</f>
        <v/>
      </c>
      <c r="J5" s="419" t="n"/>
      <c r="K5" s="419" t="n"/>
      <c r="L5" s="419" t="n"/>
      <c r="M5" s="491" t="n"/>
      <c r="N5" s="43" t="n"/>
      <c r="O5" s="43" t="n"/>
      <c r="P5" s="44" t="inlineStr">
        <is>
          <t>Empreendimento de Múltiplas Unidades</t>
        </is>
      </c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</row>
    <row r="6" ht="15" customHeight="1">
      <c r="A6" s="43" t="n"/>
      <c r="B6" s="388">
        <f>IF(G5="Ordem de Prioridade", "Indicar unidade consumidora que receberá eventual excedente de energia (opcional)","")</f>
        <v/>
      </c>
      <c r="C6" s="419" t="n"/>
      <c r="D6" s="419" t="n"/>
      <c r="E6" s="419" t="n"/>
      <c r="F6" s="419" t="n"/>
      <c r="G6" s="419" t="n"/>
      <c r="H6" s="419" t="n"/>
      <c r="I6" s="419" t="n"/>
      <c r="J6" s="419" t="n"/>
      <c r="K6" s="419" t="n"/>
      <c r="L6" s="391" t="n"/>
      <c r="M6" s="517" t="n"/>
      <c r="N6" s="43" t="n"/>
      <c r="O6" s="43" t="n"/>
      <c r="P6" s="44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</row>
    <row r="7" ht="9.949999999999999" customHeight="1">
      <c r="A7" s="43" t="n"/>
      <c r="B7" s="388" t="n"/>
      <c r="C7" s="389" t="n"/>
      <c r="D7" s="389" t="n"/>
      <c r="E7" s="390" t="n"/>
      <c r="F7" s="390" t="n"/>
      <c r="G7" s="390" t="n"/>
      <c r="H7" s="390" t="n"/>
      <c r="I7" s="390" t="n"/>
      <c r="J7" s="390" t="n"/>
      <c r="K7" s="390" t="n"/>
      <c r="L7" s="97" t="n"/>
      <c r="M7" s="81" t="n"/>
      <c r="N7" s="43" t="n"/>
      <c r="O7" s="43" t="n"/>
      <c r="P7" s="44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</row>
    <row r="8">
      <c r="A8" s="43" t="n"/>
      <c r="B8" s="46" t="inlineStr">
        <is>
          <t>Ordem</t>
        </is>
      </c>
      <c r="C8" s="47" t="inlineStr">
        <is>
          <t>% kWh</t>
        </is>
      </c>
      <c r="D8" s="47" t="inlineStr">
        <is>
          <t>Conta Contrato</t>
        </is>
      </c>
      <c r="E8" s="419" t="n"/>
      <c r="F8" s="420" t="n"/>
      <c r="G8" s="47" t="inlineStr">
        <is>
          <t>Classe de Consumo</t>
        </is>
      </c>
      <c r="H8" s="419" t="n"/>
      <c r="I8" s="420" t="n"/>
      <c r="J8" s="518" t="inlineStr">
        <is>
          <t>ENDEREÇO</t>
        </is>
      </c>
      <c r="K8" s="419" t="n"/>
      <c r="L8" s="419" t="n"/>
      <c r="M8" s="491" t="n"/>
      <c r="N8" s="44" t="n"/>
      <c r="O8" s="44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</row>
    <row r="9" ht="15" customHeight="1">
      <c r="A9" s="43" t="n"/>
      <c r="B9" s="45" t="n">
        <v>1</v>
      </c>
      <c r="C9" s="102" t="n">
        <v>0</v>
      </c>
      <c r="D9" s="449" t="n">
        <v>11517621</v>
      </c>
      <c r="E9" s="422" t="n"/>
      <c r="F9" s="423" t="n"/>
      <c r="G9" s="519" t="inlineStr">
        <is>
          <t>Residencial</t>
        </is>
      </c>
      <c r="H9" s="422" t="n"/>
      <c r="I9" s="423" t="n"/>
      <c r="J9" s="520" t="inlineStr">
        <is>
          <t>RUA DA UNIÃO, QD. 171, LT. 15, S/N, JARDIM NOVA ESPERANÇA, GOIANIA - GO</t>
        </is>
      </c>
      <c r="K9" s="422" t="n"/>
      <c r="L9" s="422" t="n"/>
      <c r="M9" s="517" t="n"/>
      <c r="N9" s="43" t="n"/>
      <c r="O9" s="43" t="n"/>
      <c r="P9" s="44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</row>
    <row r="10">
      <c r="A10" s="43" t="n"/>
      <c r="B10" s="45" t="n">
        <v>2</v>
      </c>
      <c r="C10" s="102" t="n">
        <v>100</v>
      </c>
      <c r="D10" s="449" t="n">
        <v>12996774</v>
      </c>
      <c r="E10" s="422" t="n"/>
      <c r="F10" s="423" t="n"/>
      <c r="G10" s="519" t="inlineStr">
        <is>
          <t>Residencial</t>
        </is>
      </c>
      <c r="H10" s="422" t="n"/>
      <c r="I10" s="423" t="n"/>
      <c r="J10" s="520" t="inlineStr">
        <is>
          <t>RUA JC-51, QD. 100, LT. 24, JARDIM CURITIBA III, GOIANIA - GO</t>
        </is>
      </c>
      <c r="K10" s="422" t="n"/>
      <c r="L10" s="422" t="n"/>
      <c r="M10" s="517" t="n"/>
      <c r="N10" s="43" t="n"/>
      <c r="O10" s="43" t="n"/>
      <c r="P10" s="59" t="inlineStr">
        <is>
          <t>Residencial</t>
        </is>
      </c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</row>
    <row r="11">
      <c r="A11" s="43" t="n"/>
      <c r="B11" s="45" t="n">
        <v>3</v>
      </c>
      <c r="C11" s="102" t="n"/>
      <c r="D11" s="449" t="n"/>
      <c r="E11" s="422" t="n"/>
      <c r="F11" s="423" t="n"/>
      <c r="G11" s="519" t="n"/>
      <c r="H11" s="422" t="n"/>
      <c r="I11" s="423" t="n"/>
      <c r="J11" s="520" t="n"/>
      <c r="K11" s="422" t="n"/>
      <c r="L11" s="422" t="n"/>
      <c r="M11" s="517" t="n"/>
      <c r="N11" s="43" t="n"/>
      <c r="O11" s="43" t="n"/>
      <c r="P11" s="59" t="inlineStr">
        <is>
          <t>Industrial</t>
        </is>
      </c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</row>
    <row r="12">
      <c r="A12" s="43" t="n"/>
      <c r="B12" s="45" t="n">
        <v>4</v>
      </c>
      <c r="C12" s="102" t="n"/>
      <c r="D12" s="449" t="n"/>
      <c r="E12" s="422" t="n"/>
      <c r="F12" s="423" t="n"/>
      <c r="G12" s="519" t="n"/>
      <c r="H12" s="422" t="n"/>
      <c r="I12" s="423" t="n"/>
      <c r="J12" s="520" t="n"/>
      <c r="K12" s="422" t="n"/>
      <c r="L12" s="422" t="n"/>
      <c r="M12" s="517" t="n"/>
      <c r="N12" s="43" t="n"/>
      <c r="O12" s="43" t="n"/>
      <c r="P12" s="59" t="inlineStr">
        <is>
          <t>Comércio, serviços e outras atividades</t>
        </is>
      </c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</row>
    <row r="13">
      <c r="A13" s="43" t="n"/>
      <c r="B13" s="45" t="n">
        <v>5</v>
      </c>
      <c r="C13" s="102" t="n"/>
      <c r="D13" s="449" t="n"/>
      <c r="E13" s="422" t="n"/>
      <c r="F13" s="423" t="n"/>
      <c r="G13" s="519" t="n"/>
      <c r="H13" s="422" t="n"/>
      <c r="I13" s="423" t="n"/>
      <c r="J13" s="520" t="n"/>
      <c r="K13" s="422" t="n"/>
      <c r="L13" s="422" t="n"/>
      <c r="M13" s="517" t="n"/>
      <c r="N13" s="43" t="n"/>
      <c r="O13" s="43" t="n"/>
      <c r="P13" s="59" t="inlineStr">
        <is>
          <t>Rural</t>
        </is>
      </c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</row>
    <row r="14">
      <c r="A14" s="43" t="n"/>
      <c r="B14" s="45" t="n">
        <v>6</v>
      </c>
      <c r="C14" s="102" t="n"/>
      <c r="D14" s="449" t="n"/>
      <c r="E14" s="422" t="n"/>
      <c r="F14" s="423" t="n"/>
      <c r="G14" s="519" t="n"/>
      <c r="H14" s="422" t="n"/>
      <c r="I14" s="423" t="n"/>
      <c r="J14" s="520" t="n"/>
      <c r="K14" s="422" t="n"/>
      <c r="L14" s="422" t="n"/>
      <c r="M14" s="517" t="n"/>
      <c r="N14" s="43" t="n"/>
      <c r="O14" s="43" t="n"/>
      <c r="P14" s="59" t="inlineStr">
        <is>
          <t>Poder Público</t>
        </is>
      </c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</row>
    <row r="15">
      <c r="A15" s="43" t="n"/>
      <c r="B15" s="45" t="n">
        <v>7</v>
      </c>
      <c r="C15" s="102" t="n"/>
      <c r="D15" s="449" t="n"/>
      <c r="E15" s="422" t="n"/>
      <c r="F15" s="423" t="n"/>
      <c r="G15" s="519" t="n"/>
      <c r="H15" s="422" t="n"/>
      <c r="I15" s="423" t="n"/>
      <c r="J15" s="520" t="n"/>
      <c r="K15" s="422" t="n"/>
      <c r="L15" s="422" t="n"/>
      <c r="M15" s="517" t="n"/>
      <c r="N15" s="43" t="n"/>
      <c r="O15" s="43" t="n"/>
      <c r="P15" s="59" t="inlineStr">
        <is>
          <t>Iluminação Pública</t>
        </is>
      </c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</row>
    <row r="16">
      <c r="A16" s="43" t="n"/>
      <c r="B16" s="45" t="n">
        <v>8</v>
      </c>
      <c r="C16" s="102" t="n"/>
      <c r="D16" s="449" t="n"/>
      <c r="E16" s="422" t="n"/>
      <c r="F16" s="423" t="n"/>
      <c r="G16" s="519" t="n"/>
      <c r="H16" s="422" t="n"/>
      <c r="I16" s="423" t="n"/>
      <c r="J16" s="520" t="n"/>
      <c r="K16" s="422" t="n"/>
      <c r="L16" s="422" t="n"/>
      <c r="M16" s="517" t="n"/>
      <c r="N16" s="43" t="n"/>
      <c r="O16" s="43" t="n"/>
      <c r="P16" s="59" t="inlineStr">
        <is>
          <t>Serviço Público</t>
        </is>
      </c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</row>
    <row r="17">
      <c r="A17" s="43" t="n"/>
      <c r="B17" s="45" t="n">
        <v>9</v>
      </c>
      <c r="C17" s="102" t="n"/>
      <c r="D17" s="449" t="n"/>
      <c r="E17" s="422" t="n"/>
      <c r="F17" s="423" t="n"/>
      <c r="G17" s="519" t="n"/>
      <c r="H17" s="422" t="n"/>
      <c r="I17" s="423" t="n"/>
      <c r="J17" s="520" t="n"/>
      <c r="K17" s="422" t="n"/>
      <c r="L17" s="422" t="n"/>
      <c r="M17" s="517" t="n"/>
      <c r="N17" s="43" t="n"/>
      <c r="O17" s="43" t="n"/>
      <c r="P17" s="59" t="inlineStr">
        <is>
          <t>Consumo próprio</t>
        </is>
      </c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</row>
    <row r="18">
      <c r="A18" s="43" t="n"/>
      <c r="B18" s="45" t="n">
        <v>10</v>
      </c>
      <c r="C18" s="102" t="n"/>
      <c r="D18" s="449" t="n"/>
      <c r="E18" s="422" t="n"/>
      <c r="F18" s="423" t="n"/>
      <c r="G18" s="519" t="n"/>
      <c r="H18" s="422" t="n"/>
      <c r="I18" s="423" t="n"/>
      <c r="J18" s="520" t="n"/>
      <c r="K18" s="422" t="n"/>
      <c r="L18" s="422" t="n"/>
      <c r="M18" s="517" t="n"/>
      <c r="N18" s="43" t="n"/>
      <c r="O18" s="43" t="n"/>
      <c r="P18" s="44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</row>
    <row r="19">
      <c r="A19" s="43" t="n"/>
      <c r="B19" s="45" t="n">
        <v>11</v>
      </c>
      <c r="C19" s="102" t="n"/>
      <c r="D19" s="449" t="n"/>
      <c r="E19" s="422" t="n"/>
      <c r="F19" s="423" t="n"/>
      <c r="G19" s="519" t="n"/>
      <c r="H19" s="422" t="n"/>
      <c r="I19" s="423" t="n"/>
      <c r="J19" s="520" t="n"/>
      <c r="K19" s="422" t="n"/>
      <c r="L19" s="422" t="n"/>
      <c r="M19" s="517" t="n"/>
      <c r="N19" s="43" t="n"/>
      <c r="O19" s="43" t="n"/>
      <c r="P19" s="44" t="inlineStr">
        <is>
          <t>Ordem de Prioridade</t>
        </is>
      </c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</row>
    <row r="20">
      <c r="A20" s="43" t="n"/>
      <c r="B20" s="45" t="n">
        <v>12</v>
      </c>
      <c r="C20" s="102" t="n"/>
      <c r="D20" s="449" t="n"/>
      <c r="E20" s="422" t="n"/>
      <c r="F20" s="423" t="n"/>
      <c r="G20" s="519" t="n"/>
      <c r="H20" s="422" t="n"/>
      <c r="I20" s="423" t="n"/>
      <c r="J20" s="520" t="n"/>
      <c r="K20" s="422" t="n"/>
      <c r="L20" s="422" t="n"/>
      <c r="M20" s="517" t="n"/>
      <c r="N20" s="43" t="n"/>
      <c r="O20" s="43" t="n"/>
      <c r="P20" s="44" t="inlineStr">
        <is>
          <t>Percentual do Excedente</t>
        </is>
      </c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</row>
    <row r="21">
      <c r="A21" s="43" t="n"/>
      <c r="B21" s="45" t="n">
        <v>13</v>
      </c>
      <c r="C21" s="102" t="n"/>
      <c r="D21" s="449" t="n"/>
      <c r="E21" s="422" t="n"/>
      <c r="F21" s="423" t="n"/>
      <c r="G21" s="519" t="n"/>
      <c r="H21" s="422" t="n"/>
      <c r="I21" s="423" t="n"/>
      <c r="J21" s="520" t="n"/>
      <c r="K21" s="422" t="n"/>
      <c r="L21" s="422" t="n"/>
      <c r="M21" s="517" t="n"/>
      <c r="N21" s="43" t="n"/>
      <c r="O21" s="43" t="n"/>
      <c r="P21" s="44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</row>
    <row r="22">
      <c r="A22" s="43" t="n"/>
      <c r="B22" s="45" t="n">
        <v>14</v>
      </c>
      <c r="C22" s="102" t="n"/>
      <c r="D22" s="449" t="n"/>
      <c r="E22" s="422" t="n"/>
      <c r="F22" s="423" t="n"/>
      <c r="G22" s="519" t="n"/>
      <c r="H22" s="422" t="n"/>
      <c r="I22" s="423" t="n"/>
      <c r="J22" s="520" t="n"/>
      <c r="K22" s="422" t="n"/>
      <c r="L22" s="422" t="n"/>
      <c r="M22" s="517" t="n"/>
      <c r="N22" s="43" t="n"/>
      <c r="O22" s="43" t="n"/>
      <c r="P22" s="44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</row>
    <row r="23">
      <c r="A23" s="43" t="n"/>
      <c r="B23" s="45" t="n">
        <v>15</v>
      </c>
      <c r="C23" s="102" t="n"/>
      <c r="D23" s="449" t="n"/>
      <c r="E23" s="422" t="n"/>
      <c r="F23" s="423" t="n"/>
      <c r="G23" s="519" t="n"/>
      <c r="H23" s="422" t="n"/>
      <c r="I23" s="423" t="n"/>
      <c r="J23" s="520" t="n"/>
      <c r="K23" s="422" t="n"/>
      <c r="L23" s="422" t="n"/>
      <c r="M23" s="517" t="n"/>
      <c r="N23" s="43" t="n"/>
      <c r="O23" s="43" t="n"/>
      <c r="P23" s="44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</row>
    <row r="24">
      <c r="A24" s="43" t="n"/>
      <c r="B24" s="45" t="n">
        <v>16</v>
      </c>
      <c r="C24" s="102" t="n"/>
      <c r="D24" s="449" t="n"/>
      <c r="E24" s="422" t="n"/>
      <c r="F24" s="423" t="n"/>
      <c r="G24" s="519" t="n"/>
      <c r="H24" s="422" t="n"/>
      <c r="I24" s="423" t="n"/>
      <c r="J24" s="520" t="n"/>
      <c r="K24" s="422" t="n"/>
      <c r="L24" s="422" t="n"/>
      <c r="M24" s="517" t="n"/>
      <c r="N24" s="43" t="n"/>
      <c r="O24" s="43" t="n"/>
      <c r="P24" s="44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</row>
    <row r="25">
      <c r="A25" s="43" t="n"/>
      <c r="B25" s="45" t="n">
        <v>17</v>
      </c>
      <c r="C25" s="102" t="n"/>
      <c r="D25" s="449" t="n"/>
      <c r="E25" s="422" t="n"/>
      <c r="F25" s="423" t="n"/>
      <c r="G25" s="519" t="n"/>
      <c r="H25" s="422" t="n"/>
      <c r="I25" s="423" t="n"/>
      <c r="J25" s="520" t="n"/>
      <c r="K25" s="422" t="n"/>
      <c r="L25" s="422" t="n"/>
      <c r="M25" s="517" t="n"/>
      <c r="N25" s="43" t="n"/>
      <c r="O25" s="43" t="n"/>
      <c r="P25" s="44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</row>
    <row r="26">
      <c r="A26" s="43" t="n"/>
      <c r="B26" s="45" t="n">
        <v>18</v>
      </c>
      <c r="C26" s="102" t="n"/>
      <c r="D26" s="449" t="n"/>
      <c r="E26" s="422" t="n"/>
      <c r="F26" s="423" t="n"/>
      <c r="G26" s="519" t="n"/>
      <c r="H26" s="422" t="n"/>
      <c r="I26" s="423" t="n"/>
      <c r="J26" s="520" t="n"/>
      <c r="K26" s="422" t="n"/>
      <c r="L26" s="422" t="n"/>
      <c r="M26" s="517" t="n"/>
      <c r="N26" s="43" t="n"/>
      <c r="O26" s="43" t="n"/>
      <c r="P26" s="44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</row>
    <row r="27">
      <c r="A27" s="43" t="n"/>
      <c r="B27" s="45" t="n">
        <v>19</v>
      </c>
      <c r="C27" s="102" t="n"/>
      <c r="D27" s="449" t="n"/>
      <c r="E27" s="422" t="n"/>
      <c r="F27" s="423" t="n"/>
      <c r="G27" s="519" t="n"/>
      <c r="H27" s="422" t="n"/>
      <c r="I27" s="423" t="n"/>
      <c r="J27" s="520" t="n"/>
      <c r="K27" s="422" t="n"/>
      <c r="L27" s="422" t="n"/>
      <c r="M27" s="517" t="n"/>
      <c r="N27" s="43" t="n"/>
      <c r="O27" s="43" t="n"/>
      <c r="P27" s="44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</row>
    <row r="28">
      <c r="A28" s="43" t="n"/>
      <c r="B28" s="45" t="n">
        <v>20</v>
      </c>
      <c r="C28" s="102" t="n"/>
      <c r="D28" s="449" t="n"/>
      <c r="E28" s="422" t="n"/>
      <c r="F28" s="423" t="n"/>
      <c r="G28" s="519" t="n"/>
      <c r="H28" s="422" t="n"/>
      <c r="I28" s="423" t="n"/>
      <c r="J28" s="520" t="n"/>
      <c r="K28" s="422" t="n"/>
      <c r="L28" s="422" t="n"/>
      <c r="M28" s="517" t="n"/>
      <c r="N28" s="43" t="n"/>
      <c r="O28" s="43" t="n"/>
      <c r="P28" s="44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</row>
    <row r="29">
      <c r="A29" s="43" t="n"/>
      <c r="B29" s="45" t="n">
        <v>21</v>
      </c>
      <c r="C29" s="102" t="n"/>
      <c r="D29" s="449" t="n"/>
      <c r="E29" s="422" t="n"/>
      <c r="F29" s="423" t="n"/>
      <c r="G29" s="519" t="n"/>
      <c r="H29" s="422" t="n"/>
      <c r="I29" s="423" t="n"/>
      <c r="J29" s="520" t="n"/>
      <c r="K29" s="422" t="n"/>
      <c r="L29" s="422" t="n"/>
      <c r="M29" s="517" t="n"/>
      <c r="N29" s="43" t="n"/>
      <c r="O29" s="43" t="n"/>
      <c r="P29" s="44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</row>
    <row r="30">
      <c r="A30" s="43" t="n"/>
      <c r="B30" s="45" t="n">
        <v>22</v>
      </c>
      <c r="C30" s="102" t="n"/>
      <c r="D30" s="449" t="n"/>
      <c r="E30" s="422" t="n"/>
      <c r="F30" s="423" t="n"/>
      <c r="G30" s="519" t="n"/>
      <c r="H30" s="422" t="n"/>
      <c r="I30" s="423" t="n"/>
      <c r="J30" s="520" t="n"/>
      <c r="K30" s="422" t="n"/>
      <c r="L30" s="422" t="n"/>
      <c r="M30" s="517" t="n"/>
      <c r="N30" s="43" t="n"/>
      <c r="O30" s="43" t="n"/>
      <c r="P30" s="44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  <c r="AA30" s="43" t="n"/>
    </row>
    <row r="31">
      <c r="A31" s="43" t="n"/>
      <c r="B31" s="45" t="n">
        <v>23</v>
      </c>
      <c r="C31" s="102" t="n"/>
      <c r="D31" s="449" t="n"/>
      <c r="E31" s="422" t="n"/>
      <c r="F31" s="423" t="n"/>
      <c r="G31" s="519" t="n"/>
      <c r="H31" s="422" t="n"/>
      <c r="I31" s="423" t="n"/>
      <c r="J31" s="520" t="n"/>
      <c r="K31" s="422" t="n"/>
      <c r="L31" s="422" t="n"/>
      <c r="M31" s="517" t="n"/>
      <c r="N31" s="43" t="n"/>
      <c r="O31" s="43" t="n"/>
      <c r="P31" s="44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</row>
    <row r="32">
      <c r="A32" s="43" t="n"/>
      <c r="B32" s="45" t="n">
        <v>24</v>
      </c>
      <c r="C32" s="102" t="n"/>
      <c r="D32" s="449" t="n"/>
      <c r="E32" s="422" t="n"/>
      <c r="F32" s="423" t="n"/>
      <c r="G32" s="519" t="n"/>
      <c r="H32" s="422" t="n"/>
      <c r="I32" s="423" t="n"/>
      <c r="J32" s="520" t="n"/>
      <c r="K32" s="422" t="n"/>
      <c r="L32" s="422" t="n"/>
      <c r="M32" s="517" t="n"/>
      <c r="N32" s="43" t="n"/>
      <c r="O32" s="43" t="n"/>
      <c r="P32" s="44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43" t="n"/>
    </row>
    <row r="33">
      <c r="A33" s="43" t="n"/>
      <c r="B33" s="45" t="n">
        <v>25</v>
      </c>
      <c r="C33" s="102" t="n"/>
      <c r="D33" s="449" t="n"/>
      <c r="E33" s="422" t="n"/>
      <c r="F33" s="423" t="n"/>
      <c r="G33" s="519" t="n"/>
      <c r="H33" s="422" t="n"/>
      <c r="I33" s="423" t="n"/>
      <c r="J33" s="520" t="n"/>
      <c r="K33" s="422" t="n"/>
      <c r="L33" s="422" t="n"/>
      <c r="M33" s="517" t="n"/>
      <c r="N33" s="43" t="n"/>
      <c r="O33" s="43" t="n"/>
      <c r="P33" s="44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43" t="n"/>
    </row>
    <row r="34">
      <c r="A34" s="43" t="n"/>
      <c r="B34" s="45" t="n">
        <v>26</v>
      </c>
      <c r="C34" s="102" t="n"/>
      <c r="D34" s="449" t="n"/>
      <c r="E34" s="422" t="n"/>
      <c r="F34" s="423" t="n"/>
      <c r="G34" s="519" t="n"/>
      <c r="H34" s="422" t="n"/>
      <c r="I34" s="423" t="n"/>
      <c r="J34" s="520" t="n"/>
      <c r="K34" s="422" t="n"/>
      <c r="L34" s="422" t="n"/>
      <c r="M34" s="517" t="n"/>
      <c r="N34" s="43" t="n"/>
      <c r="O34" s="43" t="n"/>
      <c r="P34" s="44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</row>
    <row r="35">
      <c r="A35" s="43" t="n"/>
      <c r="B35" s="45" t="n">
        <v>27</v>
      </c>
      <c r="C35" s="102" t="n"/>
      <c r="D35" s="449" t="n"/>
      <c r="E35" s="422" t="n"/>
      <c r="F35" s="423" t="n"/>
      <c r="G35" s="519" t="n"/>
      <c r="H35" s="422" t="n"/>
      <c r="I35" s="423" t="n"/>
      <c r="J35" s="520" t="n"/>
      <c r="K35" s="422" t="n"/>
      <c r="L35" s="422" t="n"/>
      <c r="M35" s="517" t="n"/>
      <c r="N35" s="43" t="n"/>
      <c r="O35" s="43" t="n"/>
      <c r="P35" s="44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</row>
    <row r="36">
      <c r="A36" s="43" t="n"/>
      <c r="B36" s="45" t="n">
        <v>28</v>
      </c>
      <c r="C36" s="102" t="n"/>
      <c r="D36" s="449" t="n"/>
      <c r="E36" s="422" t="n"/>
      <c r="F36" s="423" t="n"/>
      <c r="G36" s="519" t="n"/>
      <c r="H36" s="422" t="n"/>
      <c r="I36" s="423" t="n"/>
      <c r="J36" s="520" t="n"/>
      <c r="K36" s="422" t="n"/>
      <c r="L36" s="422" t="n"/>
      <c r="M36" s="517" t="n"/>
      <c r="N36" s="43" t="n"/>
      <c r="O36" s="43" t="n"/>
      <c r="P36" s="44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  <c r="AA36" s="43" t="n"/>
    </row>
    <row r="37">
      <c r="A37" s="43" t="n"/>
      <c r="B37" s="45" t="n">
        <v>29</v>
      </c>
      <c r="C37" s="102" t="n"/>
      <c r="D37" s="449" t="n"/>
      <c r="E37" s="422" t="n"/>
      <c r="F37" s="423" t="n"/>
      <c r="G37" s="519" t="n"/>
      <c r="H37" s="422" t="n"/>
      <c r="I37" s="423" t="n"/>
      <c r="J37" s="520" t="n"/>
      <c r="K37" s="422" t="n"/>
      <c r="L37" s="422" t="n"/>
      <c r="M37" s="517" t="n"/>
      <c r="N37" s="43" t="n"/>
      <c r="O37" s="43" t="n"/>
      <c r="P37" s="44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</row>
    <row r="38">
      <c r="A38" s="43" t="n"/>
      <c r="B38" s="45" t="n">
        <v>30</v>
      </c>
      <c r="C38" s="102" t="n"/>
      <c r="D38" s="449" t="n"/>
      <c r="E38" s="422" t="n"/>
      <c r="F38" s="423" t="n"/>
      <c r="G38" s="519" t="n"/>
      <c r="H38" s="422" t="n"/>
      <c r="I38" s="423" t="n"/>
      <c r="J38" s="520" t="n"/>
      <c r="K38" s="422" t="n"/>
      <c r="L38" s="422" t="n"/>
      <c r="M38" s="517" t="n"/>
      <c r="N38" s="43" t="n"/>
      <c r="O38" s="43" t="n"/>
      <c r="P38" s="44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43" t="n"/>
    </row>
    <row r="39">
      <c r="A39" s="43" t="n"/>
      <c r="B39" s="45" t="n">
        <v>31</v>
      </c>
      <c r="C39" s="102" t="n"/>
      <c r="D39" s="449" t="n"/>
      <c r="E39" s="422" t="n"/>
      <c r="F39" s="423" t="n"/>
      <c r="G39" s="519" t="n"/>
      <c r="H39" s="422" t="n"/>
      <c r="I39" s="423" t="n"/>
      <c r="J39" s="520" t="n"/>
      <c r="K39" s="422" t="n"/>
      <c r="L39" s="422" t="n"/>
      <c r="M39" s="517" t="n"/>
      <c r="N39" s="43" t="n"/>
      <c r="O39" s="43" t="n"/>
      <c r="P39" s="44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</row>
    <row r="40">
      <c r="A40" s="43" t="n"/>
      <c r="B40" s="45" t="n">
        <v>32</v>
      </c>
      <c r="C40" s="102" t="n"/>
      <c r="D40" s="449" t="n"/>
      <c r="E40" s="422" t="n"/>
      <c r="F40" s="423" t="n"/>
      <c r="G40" s="519" t="n"/>
      <c r="H40" s="422" t="n"/>
      <c r="I40" s="423" t="n"/>
      <c r="J40" s="520" t="n"/>
      <c r="K40" s="422" t="n"/>
      <c r="L40" s="422" t="n"/>
      <c r="M40" s="517" t="n"/>
      <c r="N40" s="43" t="n"/>
      <c r="O40" s="43" t="n"/>
      <c r="P40" s="44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</row>
    <row r="41">
      <c r="A41" s="43" t="n"/>
      <c r="B41" s="45" t="n">
        <v>33</v>
      </c>
      <c r="C41" s="102" t="n"/>
      <c r="D41" s="449" t="n"/>
      <c r="E41" s="422" t="n"/>
      <c r="F41" s="423" t="n"/>
      <c r="G41" s="519" t="n"/>
      <c r="H41" s="422" t="n"/>
      <c r="I41" s="423" t="n"/>
      <c r="J41" s="520" t="n"/>
      <c r="K41" s="422" t="n"/>
      <c r="L41" s="422" t="n"/>
      <c r="M41" s="517" t="n"/>
      <c r="N41" s="43" t="n"/>
      <c r="O41" s="43" t="n"/>
      <c r="P41" s="44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</row>
    <row r="42">
      <c r="A42" s="43" t="n"/>
      <c r="B42" s="45" t="n">
        <v>34</v>
      </c>
      <c r="C42" s="102" t="n"/>
      <c r="D42" s="449" t="n"/>
      <c r="E42" s="422" t="n"/>
      <c r="F42" s="423" t="n"/>
      <c r="G42" s="519" t="n"/>
      <c r="H42" s="422" t="n"/>
      <c r="I42" s="423" t="n"/>
      <c r="J42" s="520" t="n"/>
      <c r="K42" s="422" t="n"/>
      <c r="L42" s="422" t="n"/>
      <c r="M42" s="517" t="n"/>
      <c r="N42" s="43" t="n"/>
      <c r="O42" s="43" t="n"/>
      <c r="P42" s="44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</row>
    <row r="43">
      <c r="A43" s="43" t="n"/>
      <c r="B43" s="45" t="n">
        <v>35</v>
      </c>
      <c r="C43" s="102" t="n"/>
      <c r="D43" s="449" t="n"/>
      <c r="E43" s="422" t="n"/>
      <c r="F43" s="423" t="n"/>
      <c r="G43" s="519" t="n"/>
      <c r="H43" s="422" t="n"/>
      <c r="I43" s="423" t="n"/>
      <c r="J43" s="520" t="n"/>
      <c r="K43" s="422" t="n"/>
      <c r="L43" s="422" t="n"/>
      <c r="M43" s="517" t="n"/>
      <c r="N43" s="43" t="n"/>
      <c r="O43" s="43" t="n"/>
      <c r="P43" s="44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</row>
    <row r="44">
      <c r="A44" s="43" t="n"/>
      <c r="B44" s="45" t="n">
        <v>36</v>
      </c>
      <c r="C44" s="102" t="n"/>
      <c r="D44" s="449" t="n"/>
      <c r="E44" s="422" t="n"/>
      <c r="F44" s="423" t="n"/>
      <c r="G44" s="519" t="n"/>
      <c r="H44" s="422" t="n"/>
      <c r="I44" s="423" t="n"/>
      <c r="J44" s="520" t="n"/>
      <c r="K44" s="422" t="n"/>
      <c r="L44" s="422" t="n"/>
      <c r="M44" s="517" t="n"/>
      <c r="N44" s="43" t="n"/>
      <c r="O44" s="43" t="n"/>
      <c r="P44" s="44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</row>
    <row r="45">
      <c r="A45" s="43" t="n"/>
      <c r="B45" s="45" t="n">
        <v>37</v>
      </c>
      <c r="C45" s="102" t="n"/>
      <c r="D45" s="449" t="n"/>
      <c r="E45" s="422" t="n"/>
      <c r="F45" s="423" t="n"/>
      <c r="G45" s="519" t="n"/>
      <c r="H45" s="422" t="n"/>
      <c r="I45" s="423" t="n"/>
      <c r="J45" s="520" t="n"/>
      <c r="K45" s="422" t="n"/>
      <c r="L45" s="422" t="n"/>
      <c r="M45" s="517" t="n"/>
      <c r="N45" s="43" t="n"/>
      <c r="O45" s="43" t="n"/>
      <c r="P45" s="44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</row>
    <row r="46">
      <c r="A46" s="43" t="n"/>
      <c r="B46" s="45" t="n">
        <v>38</v>
      </c>
      <c r="C46" s="102" t="n"/>
      <c r="D46" s="449" t="n"/>
      <c r="E46" s="422" t="n"/>
      <c r="F46" s="423" t="n"/>
      <c r="G46" s="519" t="n"/>
      <c r="H46" s="422" t="n"/>
      <c r="I46" s="423" t="n"/>
      <c r="J46" s="520" t="n"/>
      <c r="K46" s="422" t="n"/>
      <c r="L46" s="422" t="n"/>
      <c r="M46" s="517" t="n"/>
      <c r="N46" s="43" t="n"/>
      <c r="O46" s="43" t="n"/>
      <c r="P46" s="44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</row>
    <row r="47">
      <c r="A47" s="43" t="n"/>
      <c r="B47" s="45" t="n">
        <v>39</v>
      </c>
      <c r="C47" s="102" t="n"/>
      <c r="D47" s="449" t="n"/>
      <c r="E47" s="422" t="n"/>
      <c r="F47" s="423" t="n"/>
      <c r="G47" s="519" t="n"/>
      <c r="H47" s="422" t="n"/>
      <c r="I47" s="423" t="n"/>
      <c r="J47" s="520" t="n"/>
      <c r="K47" s="422" t="n"/>
      <c r="L47" s="422" t="n"/>
      <c r="M47" s="517" t="n"/>
      <c r="N47" s="43" t="n"/>
      <c r="O47" s="43" t="n"/>
      <c r="P47" s="44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</row>
    <row r="48">
      <c r="A48" s="43" t="n"/>
      <c r="B48" s="45" t="n">
        <v>40</v>
      </c>
      <c r="C48" s="102" t="n"/>
      <c r="D48" s="449" t="n"/>
      <c r="E48" s="422" t="n"/>
      <c r="F48" s="423" t="n"/>
      <c r="G48" s="519" t="n"/>
      <c r="H48" s="422" t="n"/>
      <c r="I48" s="423" t="n"/>
      <c r="J48" s="520" t="n"/>
      <c r="K48" s="422" t="n"/>
      <c r="L48" s="422" t="n"/>
      <c r="M48" s="517" t="n"/>
      <c r="N48" s="43" t="n"/>
      <c r="O48" s="43" t="n"/>
      <c r="P48" s="44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</row>
    <row r="49">
      <c r="A49" s="43" t="n"/>
      <c r="B49" s="45" t="n">
        <v>41</v>
      </c>
      <c r="C49" s="102" t="n"/>
      <c r="D49" s="449" t="n"/>
      <c r="E49" s="422" t="n"/>
      <c r="F49" s="423" t="n"/>
      <c r="G49" s="519" t="n"/>
      <c r="H49" s="422" t="n"/>
      <c r="I49" s="423" t="n"/>
      <c r="J49" s="520" t="n"/>
      <c r="K49" s="422" t="n"/>
      <c r="L49" s="422" t="n"/>
      <c r="M49" s="517" t="n"/>
      <c r="N49" s="43" t="n"/>
      <c r="O49" s="43" t="n"/>
      <c r="P49" s="44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</row>
    <row r="50">
      <c r="A50" s="43" t="n"/>
      <c r="B50" s="45" t="n">
        <v>42</v>
      </c>
      <c r="C50" s="102" t="n"/>
      <c r="D50" s="449" t="n"/>
      <c r="E50" s="422" t="n"/>
      <c r="F50" s="423" t="n"/>
      <c r="G50" s="519" t="n"/>
      <c r="H50" s="422" t="n"/>
      <c r="I50" s="423" t="n"/>
      <c r="J50" s="520" t="n"/>
      <c r="K50" s="422" t="n"/>
      <c r="L50" s="422" t="n"/>
      <c r="M50" s="517" t="n"/>
      <c r="N50" s="43" t="n"/>
      <c r="O50" s="43" t="n"/>
      <c r="P50" s="44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</row>
    <row r="51">
      <c r="A51" s="43" t="n"/>
      <c r="B51" s="45" t="n">
        <v>43</v>
      </c>
      <c r="C51" s="102" t="n"/>
      <c r="D51" s="449" t="n"/>
      <c r="E51" s="422" t="n"/>
      <c r="F51" s="423" t="n"/>
      <c r="G51" s="519" t="n"/>
      <c r="H51" s="422" t="n"/>
      <c r="I51" s="423" t="n"/>
      <c r="J51" s="520" t="n"/>
      <c r="K51" s="422" t="n"/>
      <c r="L51" s="422" t="n"/>
      <c r="M51" s="517" t="n"/>
      <c r="N51" s="43" t="n"/>
      <c r="O51" s="43" t="n"/>
      <c r="P51" s="44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</row>
    <row r="52">
      <c r="A52" s="43" t="n"/>
      <c r="B52" s="45" t="n">
        <v>44</v>
      </c>
      <c r="C52" s="102" t="n"/>
      <c r="D52" s="449" t="n"/>
      <c r="E52" s="422" t="n"/>
      <c r="F52" s="423" t="n"/>
      <c r="G52" s="519" t="n"/>
      <c r="H52" s="422" t="n"/>
      <c r="I52" s="423" t="n"/>
      <c r="J52" s="520" t="n"/>
      <c r="K52" s="422" t="n"/>
      <c r="L52" s="422" t="n"/>
      <c r="M52" s="517" t="n"/>
      <c r="N52" s="43" t="n"/>
      <c r="O52" s="43" t="n"/>
      <c r="P52" s="44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</row>
    <row r="53">
      <c r="A53" s="43" t="n"/>
      <c r="B53" s="45" t="n">
        <v>45</v>
      </c>
      <c r="C53" s="102" t="n"/>
      <c r="D53" s="449" t="n"/>
      <c r="E53" s="422" t="n"/>
      <c r="F53" s="423" t="n"/>
      <c r="G53" s="519" t="n"/>
      <c r="H53" s="422" t="n"/>
      <c r="I53" s="423" t="n"/>
      <c r="J53" s="520" t="n"/>
      <c r="K53" s="422" t="n"/>
      <c r="L53" s="422" t="n"/>
      <c r="M53" s="517" t="n"/>
      <c r="N53" s="43" t="n"/>
      <c r="O53" s="43" t="n"/>
      <c r="P53" s="44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</row>
    <row r="54">
      <c r="A54" s="43" t="n"/>
      <c r="B54" s="45" t="n">
        <v>46</v>
      </c>
      <c r="C54" s="102" t="n"/>
      <c r="D54" s="449" t="n"/>
      <c r="E54" s="422" t="n"/>
      <c r="F54" s="423" t="n"/>
      <c r="G54" s="519" t="n"/>
      <c r="H54" s="422" t="n"/>
      <c r="I54" s="423" t="n"/>
      <c r="J54" s="520" t="n"/>
      <c r="K54" s="422" t="n"/>
      <c r="L54" s="422" t="n"/>
      <c r="M54" s="517" t="n"/>
      <c r="N54" s="43" t="n"/>
      <c r="O54" s="43" t="n"/>
      <c r="P54" s="44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</row>
    <row r="55">
      <c r="A55" s="43" t="n"/>
      <c r="B55" s="45" t="n">
        <v>47</v>
      </c>
      <c r="C55" s="102" t="n"/>
      <c r="D55" s="449" t="n"/>
      <c r="E55" s="422" t="n"/>
      <c r="F55" s="423" t="n"/>
      <c r="G55" s="519" t="n"/>
      <c r="H55" s="422" t="n"/>
      <c r="I55" s="423" t="n"/>
      <c r="J55" s="520" t="n"/>
      <c r="K55" s="422" t="n"/>
      <c r="L55" s="422" t="n"/>
      <c r="M55" s="517" t="n"/>
      <c r="N55" s="43" t="n"/>
      <c r="O55" s="43" t="n"/>
      <c r="P55" s="44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</row>
    <row r="56">
      <c r="A56" s="43" t="n"/>
      <c r="B56" s="45" t="n">
        <v>48</v>
      </c>
      <c r="C56" s="102" t="n"/>
      <c r="D56" s="449" t="n"/>
      <c r="E56" s="422" t="n"/>
      <c r="F56" s="423" t="n"/>
      <c r="G56" s="519" t="n"/>
      <c r="H56" s="422" t="n"/>
      <c r="I56" s="423" t="n"/>
      <c r="J56" s="520" t="n"/>
      <c r="K56" s="422" t="n"/>
      <c r="L56" s="422" t="n"/>
      <c r="M56" s="517" t="n"/>
      <c r="N56" s="43" t="n"/>
      <c r="O56" s="43" t="n"/>
      <c r="P56" s="44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</row>
    <row r="57">
      <c r="A57" s="43" t="n"/>
      <c r="B57" s="45" t="n">
        <v>49</v>
      </c>
      <c r="C57" s="102" t="n"/>
      <c r="D57" s="449" t="n"/>
      <c r="E57" s="422" t="n"/>
      <c r="F57" s="423" t="n"/>
      <c r="G57" s="519" t="n"/>
      <c r="H57" s="422" t="n"/>
      <c r="I57" s="423" t="n"/>
      <c r="J57" s="520" t="n"/>
      <c r="K57" s="422" t="n"/>
      <c r="L57" s="422" t="n"/>
      <c r="M57" s="517" t="n"/>
      <c r="N57" s="43" t="n"/>
      <c r="O57" s="43" t="n"/>
      <c r="P57" s="44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</row>
    <row r="58">
      <c r="A58" s="43" t="n"/>
      <c r="B58" s="45" t="n">
        <v>50</v>
      </c>
      <c r="C58" s="102" t="n"/>
      <c r="D58" s="449" t="n"/>
      <c r="E58" s="422" t="n"/>
      <c r="F58" s="423" t="n"/>
      <c r="G58" s="519" t="n"/>
      <c r="H58" s="422" t="n"/>
      <c r="I58" s="423" t="n"/>
      <c r="J58" s="520" t="n"/>
      <c r="K58" s="422" t="n"/>
      <c r="L58" s="422" t="n"/>
      <c r="M58" s="517" t="n"/>
      <c r="N58" s="43" t="n"/>
      <c r="O58" s="43" t="n"/>
      <c r="P58" s="44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  <c r="AA58" s="43" t="n"/>
    </row>
    <row r="59">
      <c r="A59" s="43" t="n"/>
      <c r="B59" s="45" t="n">
        <v>51</v>
      </c>
      <c r="C59" s="102" t="n"/>
      <c r="D59" s="449" t="n"/>
      <c r="E59" s="422" t="n"/>
      <c r="F59" s="423" t="n"/>
      <c r="G59" s="519" t="n"/>
      <c r="H59" s="422" t="n"/>
      <c r="I59" s="423" t="n"/>
      <c r="J59" s="520" t="n"/>
      <c r="K59" s="422" t="n"/>
      <c r="L59" s="422" t="n"/>
      <c r="M59" s="517" t="n"/>
      <c r="N59" s="43" t="n"/>
      <c r="O59" s="43" t="n"/>
      <c r="P59" s="44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  <c r="AA59" s="43" t="n"/>
    </row>
    <row r="60">
      <c r="A60" s="43" t="n"/>
      <c r="B60" s="45" t="n">
        <v>52</v>
      </c>
      <c r="C60" s="102" t="n"/>
      <c r="D60" s="449" t="n"/>
      <c r="E60" s="422" t="n"/>
      <c r="F60" s="423" t="n"/>
      <c r="G60" s="519" t="n"/>
      <c r="H60" s="422" t="n"/>
      <c r="I60" s="423" t="n"/>
      <c r="J60" s="520" t="n"/>
      <c r="K60" s="422" t="n"/>
      <c r="L60" s="422" t="n"/>
      <c r="M60" s="517" t="n"/>
      <c r="N60" s="43" t="n"/>
      <c r="O60" s="43" t="n"/>
      <c r="P60" s="44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</row>
    <row r="61">
      <c r="A61" s="43" t="n"/>
      <c r="B61" s="45" t="n">
        <v>53</v>
      </c>
      <c r="C61" s="102" t="n"/>
      <c r="D61" s="449" t="n"/>
      <c r="E61" s="422" t="n"/>
      <c r="F61" s="423" t="n"/>
      <c r="G61" s="519" t="n"/>
      <c r="H61" s="422" t="n"/>
      <c r="I61" s="423" t="n"/>
      <c r="J61" s="520" t="n"/>
      <c r="K61" s="422" t="n"/>
      <c r="L61" s="422" t="n"/>
      <c r="M61" s="517" t="n"/>
      <c r="N61" s="43" t="n"/>
      <c r="O61" s="43" t="n"/>
      <c r="P61" s="44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  <c r="AA61" s="43" t="n"/>
    </row>
    <row r="62">
      <c r="A62" s="43" t="n"/>
      <c r="B62" s="45" t="n">
        <v>54</v>
      </c>
      <c r="C62" s="102" t="n"/>
      <c r="D62" s="449" t="n"/>
      <c r="E62" s="422" t="n"/>
      <c r="F62" s="423" t="n"/>
      <c r="G62" s="519" t="n"/>
      <c r="H62" s="422" t="n"/>
      <c r="I62" s="423" t="n"/>
      <c r="J62" s="520" t="n"/>
      <c r="K62" s="422" t="n"/>
      <c r="L62" s="422" t="n"/>
      <c r="M62" s="517" t="n"/>
      <c r="N62" s="43" t="n"/>
      <c r="O62" s="43" t="n"/>
      <c r="P62" s="44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  <c r="AA62" s="43" t="n"/>
    </row>
    <row r="63">
      <c r="A63" s="43" t="n"/>
      <c r="B63" s="45" t="n">
        <v>55</v>
      </c>
      <c r="C63" s="102" t="n"/>
      <c r="D63" s="449" t="n"/>
      <c r="E63" s="422" t="n"/>
      <c r="F63" s="423" t="n"/>
      <c r="G63" s="519" t="n"/>
      <c r="H63" s="422" t="n"/>
      <c r="I63" s="423" t="n"/>
      <c r="J63" s="520" t="n"/>
      <c r="K63" s="422" t="n"/>
      <c r="L63" s="422" t="n"/>
      <c r="M63" s="517" t="n"/>
      <c r="N63" s="43" t="n"/>
      <c r="O63" s="43" t="n"/>
      <c r="P63" s="44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</row>
    <row r="64">
      <c r="A64" s="43" t="n"/>
      <c r="B64" s="45" t="n">
        <v>56</v>
      </c>
      <c r="C64" s="102" t="n"/>
      <c r="D64" s="449" t="n"/>
      <c r="E64" s="422" t="n"/>
      <c r="F64" s="423" t="n"/>
      <c r="G64" s="519" t="n"/>
      <c r="H64" s="422" t="n"/>
      <c r="I64" s="423" t="n"/>
      <c r="J64" s="520" t="n"/>
      <c r="K64" s="422" t="n"/>
      <c r="L64" s="422" t="n"/>
      <c r="M64" s="517" t="n"/>
      <c r="N64" s="43" t="n"/>
      <c r="O64" s="43" t="n"/>
      <c r="P64" s="44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</row>
    <row r="65">
      <c r="A65" s="43" t="n"/>
      <c r="B65" s="45" t="n">
        <v>57</v>
      </c>
      <c r="C65" s="102" t="n"/>
      <c r="D65" s="449" t="n"/>
      <c r="E65" s="422" t="n"/>
      <c r="F65" s="423" t="n"/>
      <c r="G65" s="519" t="n"/>
      <c r="H65" s="422" t="n"/>
      <c r="I65" s="423" t="n"/>
      <c r="J65" s="520" t="n"/>
      <c r="K65" s="422" t="n"/>
      <c r="L65" s="422" t="n"/>
      <c r="M65" s="517" t="n"/>
      <c r="N65" s="43" t="n"/>
      <c r="O65" s="43" t="n"/>
      <c r="P65" s="44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</row>
    <row r="66">
      <c r="A66" s="43" t="n"/>
      <c r="B66" s="45" t="n">
        <v>58</v>
      </c>
      <c r="C66" s="102" t="n"/>
      <c r="D66" s="449" t="n"/>
      <c r="E66" s="422" t="n"/>
      <c r="F66" s="423" t="n"/>
      <c r="G66" s="519" t="n"/>
      <c r="H66" s="422" t="n"/>
      <c r="I66" s="423" t="n"/>
      <c r="J66" s="520" t="n"/>
      <c r="K66" s="422" t="n"/>
      <c r="L66" s="422" t="n"/>
      <c r="M66" s="517" t="n"/>
      <c r="N66" s="43" t="n"/>
      <c r="O66" s="43" t="n"/>
      <c r="P66" s="44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  <c r="AA66" s="43" t="n"/>
    </row>
    <row r="67">
      <c r="A67" s="43" t="n"/>
      <c r="B67" s="45" t="n">
        <v>59</v>
      </c>
      <c r="C67" s="102" t="n"/>
      <c r="D67" s="449" t="n"/>
      <c r="E67" s="422" t="n"/>
      <c r="F67" s="423" t="n"/>
      <c r="G67" s="519" t="n"/>
      <c r="H67" s="422" t="n"/>
      <c r="I67" s="423" t="n"/>
      <c r="J67" s="520" t="n"/>
      <c r="K67" s="422" t="n"/>
      <c r="L67" s="422" t="n"/>
      <c r="M67" s="517" t="n"/>
      <c r="N67" s="43" t="n"/>
      <c r="O67" s="43" t="n"/>
      <c r="P67" s="44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  <c r="AA67" s="43" t="n"/>
    </row>
    <row r="68">
      <c r="A68" s="43" t="n"/>
      <c r="B68" s="45" t="n">
        <v>60</v>
      </c>
      <c r="C68" s="102" t="n"/>
      <c r="D68" s="449" t="n"/>
      <c r="E68" s="422" t="n"/>
      <c r="F68" s="423" t="n"/>
      <c r="G68" s="519" t="n"/>
      <c r="H68" s="422" t="n"/>
      <c r="I68" s="423" t="n"/>
      <c r="J68" s="520" t="n"/>
      <c r="K68" s="422" t="n"/>
      <c r="L68" s="422" t="n"/>
      <c r="M68" s="517" t="n"/>
      <c r="N68" s="43" t="n"/>
      <c r="O68" s="43" t="n"/>
      <c r="P68" s="44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  <c r="AA68" s="43" t="n"/>
    </row>
    <row r="69" ht="15" customHeight="1" thickBot="1">
      <c r="A69" s="43" t="n"/>
      <c r="B69" s="48" t="inlineStr">
        <is>
          <t>TOTAL</t>
        </is>
      </c>
      <c r="C69" s="399">
        <f>IF(G5="","",IF(G5="Percentual do Excedente", SUM(C9:C68)/100, "Definir ordem de prioridade"))</f>
        <v/>
      </c>
      <c r="D69" s="521" t="n"/>
      <c r="E69" s="521" t="n"/>
      <c r="F69" s="521" t="n"/>
      <c r="G69" s="99" t="n"/>
      <c r="H69" s="100" t="n"/>
      <c r="I69" s="100" t="n"/>
      <c r="J69" s="100" t="n"/>
      <c r="K69" s="100" t="n"/>
      <c r="L69" s="100" t="n"/>
      <c r="M69" s="101" t="n"/>
      <c r="N69" s="43" t="n"/>
      <c r="O69" s="43" t="n"/>
      <c r="P69" s="44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  <c r="AA69" s="43" t="n"/>
    </row>
    <row r="70" ht="9" customHeight="1">
      <c r="A70" s="43" t="n"/>
      <c r="B70" s="43" t="n"/>
      <c r="C70" s="44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4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</row>
    <row r="71">
      <c r="A71" s="43" t="n"/>
      <c r="B71" s="43" t="n"/>
      <c r="C71" s="44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4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  <c r="AA71" s="43" t="n"/>
    </row>
    <row r="72">
      <c r="A72" s="43" t="n"/>
      <c r="B72" s="43" t="n"/>
      <c r="C72" s="44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4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</row>
    <row r="73">
      <c r="A73" s="43" t="n"/>
      <c r="B73" s="43" t="n"/>
      <c r="C73" s="44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4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  <c r="AA73" s="43" t="n"/>
    </row>
    <row r="74">
      <c r="A74" s="43" t="n"/>
      <c r="B74" s="43" t="n"/>
      <c r="C74" s="522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4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  <c r="AA74" s="43" t="n"/>
    </row>
    <row r="75">
      <c r="A75" s="43" t="n"/>
      <c r="B75" s="43" t="n"/>
      <c r="C75" s="44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4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  <c r="AA75" s="43" t="n"/>
    </row>
    <row r="76">
      <c r="A76" s="43" t="n"/>
      <c r="B76" s="43" t="n"/>
      <c r="C76" s="44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4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  <c r="AA76" s="43" t="n"/>
    </row>
    <row r="77">
      <c r="A77" s="43" t="n"/>
      <c r="B77" s="43" t="n"/>
      <c r="C77" s="44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4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  <c r="AA77" s="43" t="n"/>
    </row>
    <row r="78">
      <c r="A78" s="43" t="n"/>
      <c r="B78" s="43" t="n"/>
      <c r="C78" s="44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4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  <c r="AA78" s="43" t="n"/>
    </row>
    <row r="79">
      <c r="A79" s="43" t="n"/>
      <c r="B79" s="43" t="n"/>
      <c r="C79" s="44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4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</row>
    <row r="80">
      <c r="A80" s="43" t="n"/>
      <c r="B80" s="43" t="n"/>
      <c r="C80" s="44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4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</row>
    <row r="81">
      <c r="A81" s="43" t="n"/>
      <c r="B81" s="43" t="n"/>
      <c r="C81" s="44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4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  <c r="AA81" s="43" t="n"/>
    </row>
    <row r="82">
      <c r="A82" s="43" t="n"/>
      <c r="B82" s="43" t="n"/>
      <c r="C82" s="44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4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  <c r="AA82" s="43" t="n"/>
    </row>
    <row r="83">
      <c r="A83" s="43" t="n"/>
      <c r="B83" s="43" t="n"/>
      <c r="C83" s="44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4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  <c r="AA83" s="43" t="n"/>
    </row>
    <row r="84">
      <c r="A84" s="43" t="n"/>
      <c r="B84" s="43" t="n"/>
      <c r="C84" s="44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4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  <c r="AA84" s="43" t="n"/>
    </row>
    <row r="85">
      <c r="A85" s="43" t="n"/>
      <c r="B85" s="43" t="n"/>
      <c r="C85" s="44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4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  <c r="AA85" s="43" t="n"/>
    </row>
    <row r="86">
      <c r="A86" s="43" t="n"/>
      <c r="B86" s="43" t="n"/>
      <c r="C86" s="44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4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  <c r="AA86" s="43" t="n"/>
    </row>
    <row r="87">
      <c r="A87" s="43" t="n"/>
      <c r="B87" s="43" t="n"/>
      <c r="C87" s="44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4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  <c r="AA87" s="43" t="n"/>
    </row>
    <row r="88">
      <c r="A88" s="43" t="n"/>
      <c r="B88" s="43" t="n"/>
      <c r="C88" s="44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4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  <c r="AA88" s="43" t="n"/>
    </row>
    <row r="89">
      <c r="A89" s="43" t="n"/>
      <c r="B89" s="43" t="n"/>
      <c r="C89" s="44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4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  <c r="AA89" s="43" t="n"/>
    </row>
    <row r="90">
      <c r="A90" s="43" t="n"/>
      <c r="B90" s="43" t="n"/>
      <c r="C90" s="44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4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  <c r="AA90" s="43" t="n"/>
    </row>
    <row r="91">
      <c r="A91" s="43" t="n"/>
      <c r="B91" s="43" t="n"/>
      <c r="C91" s="44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4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  <c r="AA91" s="43" t="n"/>
    </row>
    <row r="92">
      <c r="A92" s="43" t="n"/>
      <c r="B92" s="43" t="n"/>
      <c r="C92" s="44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4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  <c r="AA92" s="43" t="n"/>
    </row>
    <row r="93">
      <c r="A93" s="43" t="n"/>
      <c r="B93" s="43" t="n"/>
      <c r="C93" s="44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4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  <c r="AA93" s="43" t="n"/>
    </row>
    <row r="94">
      <c r="A94" s="43" t="n"/>
      <c r="B94" s="43" t="n"/>
      <c r="C94" s="44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4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  <c r="AA94" s="43" t="n"/>
    </row>
    <row r="95">
      <c r="A95" s="43" t="n"/>
      <c r="B95" s="43" t="n"/>
      <c r="C95" s="44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4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  <c r="AA95" s="43" t="n"/>
    </row>
    <row r="96">
      <c r="A96" s="43" t="n"/>
      <c r="B96" s="43" t="n"/>
      <c r="C96" s="44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4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  <c r="AA96" s="43" t="n"/>
    </row>
    <row r="97">
      <c r="A97" s="43" t="n"/>
      <c r="B97" s="43" t="n"/>
      <c r="C97" s="44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4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  <c r="AA97" s="43" t="n"/>
    </row>
    <row r="98">
      <c r="A98" s="43" t="n"/>
      <c r="B98" s="43" t="n"/>
      <c r="C98" s="44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4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  <c r="AA98" s="43" t="n"/>
    </row>
    <row r="99">
      <c r="A99" s="43" t="n"/>
      <c r="B99" s="43" t="n"/>
      <c r="C99" s="44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4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  <c r="AA99" s="43" t="n"/>
    </row>
    <row r="100">
      <c r="A100" s="43" t="n"/>
      <c r="B100" s="43" t="n"/>
      <c r="C100" s="44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4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  <c r="AA100" s="43" t="n"/>
    </row>
    <row r="101">
      <c r="A101" s="43" t="n"/>
      <c r="B101" s="43" t="n"/>
      <c r="C101" s="44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4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  <c r="AA101" s="43" t="n"/>
    </row>
    <row r="102">
      <c r="A102" s="43" t="n"/>
      <c r="B102" s="43" t="n"/>
      <c r="C102" s="44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4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  <c r="AA102" s="43" t="n"/>
    </row>
    <row r="103">
      <c r="A103" s="43" t="n"/>
      <c r="B103" s="43" t="n"/>
      <c r="C103" s="44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4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  <c r="AA103" s="43" t="n"/>
    </row>
    <row r="104">
      <c r="A104" s="43" t="n"/>
      <c r="B104" s="43" t="n"/>
      <c r="C104" s="44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4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  <c r="AA104" s="43" t="n"/>
    </row>
    <row r="105">
      <c r="A105" s="43" t="n"/>
      <c r="B105" s="43" t="n"/>
      <c r="C105" s="44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4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  <c r="AA105" s="43" t="n"/>
    </row>
    <row r="106">
      <c r="A106" s="43" t="n"/>
      <c r="B106" s="43" t="n"/>
      <c r="C106" s="44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4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  <c r="AA106" s="43" t="n"/>
    </row>
    <row r="107">
      <c r="A107" s="43" t="n"/>
      <c r="B107" s="43" t="n"/>
      <c r="C107" s="44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4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  <c r="AA107" s="43" t="n"/>
    </row>
    <row r="108">
      <c r="A108" s="43" t="n"/>
      <c r="B108" s="43" t="n"/>
      <c r="C108" s="44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4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  <c r="AA108" s="43" t="n"/>
    </row>
    <row r="109">
      <c r="A109" s="43" t="n"/>
      <c r="B109" s="43" t="n"/>
      <c r="C109" s="44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4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  <c r="AA109" s="43" t="n"/>
    </row>
    <row r="110">
      <c r="A110" s="43" t="n"/>
      <c r="B110" s="43" t="n"/>
      <c r="C110" s="44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4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  <c r="AA110" s="43" t="n"/>
    </row>
    <row r="111">
      <c r="A111" s="43" t="n"/>
      <c r="B111" s="43" t="n"/>
      <c r="C111" s="44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4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  <c r="AA111" s="43" t="n"/>
    </row>
    <row r="112">
      <c r="A112" s="43" t="n"/>
      <c r="B112" s="43" t="n"/>
      <c r="C112" s="44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4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  <c r="AA112" s="43" t="n"/>
    </row>
    <row r="113">
      <c r="A113" s="43" t="n"/>
      <c r="B113" s="43" t="n"/>
      <c r="C113" s="44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4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  <c r="AA113" s="43" t="n"/>
    </row>
    <row r="114">
      <c r="A114" s="43" t="n"/>
      <c r="B114" s="43" t="n"/>
      <c r="C114" s="44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4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  <c r="AA114" s="43" t="n"/>
    </row>
    <row r="115">
      <c r="A115" s="43" t="n"/>
      <c r="B115" s="43" t="n"/>
      <c r="C115" s="44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4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  <c r="AA115" s="43" t="n"/>
    </row>
    <row r="116">
      <c r="A116" s="43" t="n"/>
      <c r="B116" s="43" t="n"/>
      <c r="C116" s="44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4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  <c r="AA116" s="43" t="n"/>
    </row>
    <row r="117">
      <c r="A117" s="43" t="n"/>
      <c r="B117" s="43" t="n"/>
      <c r="C117" s="44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4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  <c r="AA117" s="43" t="n"/>
    </row>
    <row r="118">
      <c r="A118" s="43" t="n"/>
      <c r="B118" s="43" t="n"/>
      <c r="C118" s="44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4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  <c r="AA118" s="43" t="n"/>
    </row>
    <row r="119">
      <c r="A119" s="43" t="n"/>
      <c r="B119" s="43" t="n"/>
      <c r="C119" s="44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4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  <c r="AA119" s="43" t="n"/>
    </row>
    <row r="120">
      <c r="A120" s="43" t="n"/>
      <c r="B120" s="43" t="n"/>
      <c r="C120" s="44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4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  <c r="AA120" s="43" t="n"/>
    </row>
    <row r="121">
      <c r="A121" s="43" t="n"/>
      <c r="B121" s="43" t="n"/>
      <c r="C121" s="44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4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  <c r="AA121" s="43" t="n"/>
    </row>
    <row r="122">
      <c r="A122" s="43" t="n"/>
      <c r="B122" s="43" t="n"/>
      <c r="C122" s="44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4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  <c r="AA122" s="43" t="n"/>
    </row>
    <row r="123">
      <c r="A123" s="43" t="n"/>
      <c r="B123" s="43" t="n"/>
      <c r="C123" s="44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4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  <c r="AA123" s="43" t="n"/>
    </row>
    <row r="124">
      <c r="A124" s="43" t="n"/>
      <c r="B124" s="43" t="n"/>
      <c r="C124" s="44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4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  <c r="AA124" s="43" t="n"/>
    </row>
    <row r="125">
      <c r="A125" s="43" t="n"/>
      <c r="B125" s="43" t="n"/>
      <c r="C125" s="44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4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  <c r="AA125" s="43" t="n"/>
    </row>
    <row r="126">
      <c r="A126" s="43" t="n"/>
      <c r="B126" s="43" t="n"/>
      <c r="C126" s="44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4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  <c r="AA126" s="43" t="n"/>
    </row>
    <row r="127">
      <c r="A127" s="43" t="n"/>
      <c r="B127" s="43" t="n"/>
      <c r="C127" s="44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4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  <c r="AA127" s="43" t="n"/>
    </row>
    <row r="128">
      <c r="A128" s="43" t="n"/>
      <c r="B128" s="43" t="n"/>
      <c r="C128" s="44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4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  <c r="AA128" s="43" t="n"/>
    </row>
    <row r="129">
      <c r="A129" s="43" t="n"/>
      <c r="B129" s="43" t="n"/>
      <c r="C129" s="44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4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  <c r="AA129" s="43" t="n"/>
    </row>
    <row r="130">
      <c r="A130" s="43" t="n"/>
      <c r="B130" s="43" t="n"/>
      <c r="C130" s="44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4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  <c r="AA130" s="43" t="n"/>
    </row>
    <row r="131">
      <c r="A131" s="43" t="n"/>
      <c r="B131" s="43" t="n"/>
      <c r="C131" s="44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4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  <c r="AA131" s="43" t="n"/>
    </row>
    <row r="132">
      <c r="A132" s="43" t="n"/>
      <c r="B132" s="43" t="n"/>
      <c r="C132" s="44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4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  <c r="AA132" s="43" t="n"/>
    </row>
    <row r="133">
      <c r="A133" s="43" t="n"/>
      <c r="B133" s="43" t="n"/>
      <c r="C133" s="44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4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  <c r="AA133" s="43" t="n"/>
    </row>
    <row r="134">
      <c r="A134" s="43" t="n"/>
      <c r="B134" s="43" t="n"/>
      <c r="C134" s="44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4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  <c r="AA134" s="43" t="n"/>
    </row>
    <row r="135">
      <c r="A135" s="43" t="n"/>
      <c r="B135" s="43" t="n"/>
      <c r="C135" s="44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4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  <c r="AA135" s="43" t="n"/>
    </row>
    <row r="136">
      <c r="A136" s="43" t="n"/>
      <c r="B136" s="43" t="n"/>
      <c r="C136" s="44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4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  <c r="AA136" s="43" t="n"/>
    </row>
    <row r="137">
      <c r="A137" s="43" t="n"/>
      <c r="B137" s="43" t="n"/>
      <c r="C137" s="44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4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  <c r="AA137" s="43" t="n"/>
    </row>
    <row r="138">
      <c r="A138" s="43" t="n"/>
      <c r="B138" s="43" t="n"/>
      <c r="C138" s="44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4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  <c r="AA138" s="43" t="n"/>
    </row>
    <row r="139">
      <c r="A139" s="43" t="n"/>
      <c r="B139" s="43" t="n"/>
      <c r="C139" s="44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4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3" t="n"/>
    </row>
    <row r="140">
      <c r="A140" s="43" t="n"/>
      <c r="B140" s="43" t="n"/>
      <c r="C140" s="44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4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  <c r="AA140" s="43" t="n"/>
    </row>
    <row r="141">
      <c r="A141" s="43" t="n"/>
      <c r="B141" s="43" t="n"/>
      <c r="C141" s="44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4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  <c r="AA141" s="43" t="n"/>
    </row>
    <row r="142">
      <c r="A142" s="43" t="n"/>
      <c r="B142" s="43" t="n"/>
      <c r="C142" s="44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4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  <c r="AA142" s="43" t="n"/>
    </row>
    <row r="143">
      <c r="A143" s="43" t="n"/>
      <c r="B143" s="43" t="n"/>
      <c r="C143" s="44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4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  <c r="AA143" s="43" t="n"/>
    </row>
    <row r="144">
      <c r="A144" s="43" t="n"/>
      <c r="B144" s="43" t="n"/>
      <c r="C144" s="44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4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  <c r="AA144" s="43" t="n"/>
    </row>
    <row r="145">
      <c r="A145" s="43" t="n"/>
      <c r="B145" s="43" t="n"/>
      <c r="C145" s="44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4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  <c r="AA145" s="43" t="n"/>
    </row>
    <row r="146">
      <c r="A146" s="43" t="n"/>
      <c r="B146" s="43" t="n"/>
      <c r="C146" s="44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4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  <c r="AA146" s="43" t="n"/>
    </row>
    <row r="147">
      <c r="A147" s="43" t="n"/>
      <c r="B147" s="43" t="n"/>
      <c r="C147" s="44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4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  <c r="AA147" s="43" t="n"/>
    </row>
    <row r="148">
      <c r="A148" s="43" t="n"/>
      <c r="B148" s="43" t="n"/>
      <c r="C148" s="44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4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  <c r="AA148" s="43" t="n"/>
    </row>
    <row r="149">
      <c r="A149" s="43" t="n"/>
      <c r="B149" s="43" t="n"/>
      <c r="C149" s="44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4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  <c r="AA149" s="43" t="n"/>
    </row>
    <row r="150">
      <c r="A150" s="43" t="n"/>
      <c r="B150" s="43" t="n"/>
      <c r="C150" s="44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4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  <c r="AA150" s="43" t="n"/>
    </row>
    <row r="151">
      <c r="A151" s="43" t="n"/>
      <c r="B151" s="43" t="n"/>
      <c r="C151" s="44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4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  <c r="AA151" s="43" t="n"/>
    </row>
    <row r="152">
      <c r="A152" s="43" t="n"/>
      <c r="B152" s="43" t="n"/>
      <c r="C152" s="44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4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  <c r="AA152" s="43" t="n"/>
    </row>
    <row r="153">
      <c r="A153" s="43" t="n"/>
      <c r="B153" s="43" t="n"/>
      <c r="C153" s="44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4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  <c r="AA153" s="43" t="n"/>
    </row>
    <row r="154">
      <c r="A154" s="43" t="n"/>
      <c r="B154" s="43" t="n"/>
      <c r="C154" s="44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4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  <c r="AA154" s="43" t="n"/>
    </row>
    <row r="155">
      <c r="A155" s="43" t="n"/>
      <c r="B155" s="43" t="n"/>
      <c r="C155" s="44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4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  <c r="AA155" s="43" t="n"/>
    </row>
    <row r="156">
      <c r="A156" s="43" t="n"/>
      <c r="B156" s="43" t="n"/>
      <c r="C156" s="44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4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  <c r="AA156" s="43" t="n"/>
    </row>
    <row r="157">
      <c r="A157" s="43" t="n"/>
      <c r="B157" s="43" t="n"/>
      <c r="C157" s="44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4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  <c r="AA157" s="43" t="n"/>
    </row>
    <row r="158">
      <c r="A158" s="43" t="n"/>
      <c r="B158" s="43" t="n"/>
      <c r="C158" s="44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4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  <c r="AA158" s="43" t="n"/>
    </row>
    <row r="159">
      <c r="A159" s="43" t="n"/>
      <c r="B159" s="43" t="n"/>
      <c r="C159" s="44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4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  <c r="AA159" s="43" t="n"/>
    </row>
    <row r="160">
      <c r="A160" s="43" t="n"/>
      <c r="B160" s="43" t="n"/>
      <c r="C160" s="44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4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  <c r="AA160" s="43" t="n"/>
    </row>
    <row r="161">
      <c r="A161" s="43" t="n"/>
      <c r="B161" s="43" t="n"/>
      <c r="C161" s="44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4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  <c r="AA161" s="43" t="n"/>
    </row>
    <row r="162">
      <c r="A162" s="43" t="n"/>
      <c r="B162" s="43" t="n"/>
      <c r="C162" s="44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4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  <c r="AA162" s="43" t="n"/>
    </row>
    <row r="163">
      <c r="A163" s="43" t="n"/>
      <c r="B163" s="43" t="n"/>
      <c r="C163" s="44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4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  <c r="AA163" s="43" t="n"/>
    </row>
    <row r="164">
      <c r="A164" s="43" t="n"/>
      <c r="B164" s="43" t="n"/>
      <c r="C164" s="44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4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  <c r="AA164" s="43" t="n"/>
    </row>
    <row r="165">
      <c r="A165" s="43" t="n"/>
      <c r="B165" s="43" t="n"/>
      <c r="C165" s="44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4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  <c r="AA165" s="43" t="n"/>
    </row>
    <row r="166">
      <c r="A166" s="43" t="n"/>
      <c r="B166" s="43" t="n"/>
      <c r="C166" s="44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4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  <c r="AA166" s="43" t="n"/>
    </row>
    <row r="167">
      <c r="A167" s="43" t="n"/>
      <c r="B167" s="43" t="n"/>
      <c r="C167" s="44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4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  <c r="AA167" s="43" t="n"/>
    </row>
    <row r="168">
      <c r="A168" s="43" t="n"/>
      <c r="B168" s="43" t="n"/>
      <c r="C168" s="44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4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  <c r="AA168" s="43" t="n"/>
    </row>
    <row r="169">
      <c r="A169" s="43" t="n"/>
      <c r="B169" s="43" t="n"/>
      <c r="C169" s="44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4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  <c r="AA169" s="43" t="n"/>
    </row>
    <row r="170">
      <c r="A170" s="43" t="n"/>
      <c r="B170" s="43" t="n"/>
      <c r="C170" s="44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4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  <c r="AA170" s="43" t="n"/>
    </row>
    <row r="171">
      <c r="A171" s="43" t="n"/>
      <c r="B171" s="43" t="n"/>
      <c r="C171" s="44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4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  <c r="AA171" s="43" t="n"/>
    </row>
    <row r="172">
      <c r="A172" s="43" t="n"/>
      <c r="B172" s="43" t="n"/>
      <c r="C172" s="44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4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  <c r="AA172" s="43" t="n"/>
    </row>
    <row r="173">
      <c r="A173" s="43" t="n"/>
      <c r="B173" s="43" t="n"/>
      <c r="C173" s="44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4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  <c r="AA173" s="43" t="n"/>
    </row>
    <row r="174">
      <c r="A174" s="43" t="n"/>
      <c r="B174" s="43" t="n"/>
      <c r="C174" s="44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4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  <c r="AA174" s="43" t="n"/>
    </row>
    <row r="175">
      <c r="A175" s="43" t="n"/>
      <c r="B175" s="43" t="n"/>
      <c r="C175" s="44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4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  <c r="AA175" s="43" t="n"/>
    </row>
    <row r="176">
      <c r="A176" s="43" t="n"/>
      <c r="B176" s="43" t="n"/>
      <c r="C176" s="44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4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  <c r="AA176" s="43" t="n"/>
    </row>
    <row r="177">
      <c r="A177" s="43" t="n"/>
      <c r="B177" s="43" t="n"/>
      <c r="C177" s="44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4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  <c r="AA177" s="43" t="n"/>
    </row>
    <row r="178">
      <c r="A178" s="43" t="n"/>
      <c r="B178" s="43" t="n"/>
      <c r="C178" s="44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4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  <c r="AA178" s="43" t="n"/>
    </row>
    <row r="179">
      <c r="A179" s="43" t="n"/>
      <c r="B179" s="43" t="n"/>
      <c r="C179" s="44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4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  <c r="AA179" s="43" t="n"/>
    </row>
    <row r="180">
      <c r="A180" s="43" t="n"/>
      <c r="B180" s="43" t="n"/>
      <c r="C180" s="44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4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  <c r="AA180" s="43" t="n"/>
    </row>
    <row r="181">
      <c r="A181" s="43" t="n"/>
      <c r="B181" s="43" t="n"/>
      <c r="C181" s="44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4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  <c r="AA181" s="43" t="n"/>
    </row>
    <row r="182">
      <c r="A182" s="43" t="n"/>
      <c r="B182" s="43" t="n"/>
      <c r="C182" s="44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4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  <c r="AA182" s="43" t="n"/>
    </row>
    <row r="183">
      <c r="A183" s="43" t="n"/>
      <c r="B183" s="43" t="n"/>
      <c r="C183" s="44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4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  <c r="AA183" s="43" t="n"/>
    </row>
    <row r="184">
      <c r="A184" s="43" t="n"/>
      <c r="B184" s="43" t="n"/>
      <c r="C184" s="44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4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  <c r="AA184" s="43" t="n"/>
    </row>
    <row r="185">
      <c r="A185" s="43" t="n"/>
      <c r="B185" s="43" t="n"/>
      <c r="C185" s="44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4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  <c r="AA185" s="43" t="n"/>
    </row>
    <row r="186">
      <c r="A186" s="43" t="n"/>
      <c r="B186" s="43" t="n"/>
      <c r="C186" s="44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4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  <c r="AA186" s="43" t="n"/>
    </row>
    <row r="187">
      <c r="A187" s="43" t="n"/>
      <c r="B187" s="43" t="n"/>
      <c r="C187" s="44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4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  <c r="AA187" s="43" t="n"/>
    </row>
    <row r="188">
      <c r="A188" s="43" t="n"/>
      <c r="B188" s="43" t="n"/>
      <c r="C188" s="44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4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  <c r="AA188" s="43" t="n"/>
    </row>
    <row r="189">
      <c r="A189" s="43" t="n"/>
      <c r="B189" s="43" t="n"/>
      <c r="C189" s="44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4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  <c r="AA189" s="43" t="n"/>
    </row>
    <row r="190">
      <c r="A190" s="43" t="n"/>
      <c r="B190" s="43" t="n"/>
      <c r="C190" s="44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4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  <c r="AA190" s="43" t="n"/>
    </row>
    <row r="191">
      <c r="A191" s="43" t="n"/>
      <c r="B191" s="43" t="n"/>
      <c r="C191" s="44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4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  <c r="AA191" s="43" t="n"/>
    </row>
    <row r="192">
      <c r="A192" s="43" t="n"/>
      <c r="B192" s="43" t="n"/>
      <c r="C192" s="44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4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  <c r="AA192" s="43" t="n"/>
    </row>
    <row r="193">
      <c r="A193" s="43" t="n"/>
      <c r="B193" s="43" t="n"/>
      <c r="C193" s="44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4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  <c r="AA193" s="43" t="n"/>
    </row>
    <row r="194">
      <c r="A194" s="43" t="n"/>
      <c r="B194" s="43" t="n"/>
      <c r="C194" s="44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4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  <c r="AA194" s="43" t="n"/>
    </row>
    <row r="195">
      <c r="A195" s="43" t="n"/>
      <c r="B195" s="43" t="n"/>
      <c r="C195" s="44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4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  <c r="AA195" s="43" t="n"/>
    </row>
    <row r="196">
      <c r="A196" s="43" t="n"/>
      <c r="B196" s="43" t="n"/>
      <c r="C196" s="44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4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  <c r="AA196" s="43" t="n"/>
    </row>
    <row r="197">
      <c r="A197" s="43" t="n"/>
      <c r="B197" s="43" t="n"/>
      <c r="C197" s="44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4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  <c r="AA197" s="43" t="n"/>
    </row>
    <row r="198">
      <c r="A198" s="43" t="n"/>
      <c r="B198" s="43" t="n"/>
      <c r="C198" s="44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4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  <c r="AA198" s="43" t="n"/>
    </row>
    <row r="199">
      <c r="A199" s="43" t="n"/>
      <c r="B199" s="43" t="n"/>
      <c r="C199" s="44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4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  <c r="AA199" s="43" t="n"/>
    </row>
    <row r="200">
      <c r="A200" s="43" t="n"/>
      <c r="B200" s="43" t="n"/>
      <c r="C200" s="44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4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  <c r="AA200" s="43" t="n"/>
    </row>
    <row r="201">
      <c r="A201" s="43" t="n"/>
      <c r="B201" s="43" t="n"/>
      <c r="C201" s="44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4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  <c r="AA201" s="43" t="n"/>
    </row>
    <row r="202">
      <c r="A202" s="43" t="n"/>
      <c r="B202" s="43" t="n"/>
      <c r="C202" s="44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4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  <c r="AA202" s="43" t="n"/>
    </row>
    <row r="203">
      <c r="A203" s="43" t="n"/>
      <c r="B203" s="43" t="n"/>
      <c r="C203" s="44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4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  <c r="AA203" s="43" t="n"/>
    </row>
    <row r="204">
      <c r="A204" s="43" t="n"/>
      <c r="B204" s="43" t="n"/>
      <c r="C204" s="44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4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  <c r="AA204" s="43" t="n"/>
    </row>
    <row r="205">
      <c r="A205" s="43" t="n"/>
      <c r="B205" s="43" t="n"/>
      <c r="C205" s="44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4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  <c r="AA205" s="43" t="n"/>
    </row>
    <row r="206">
      <c r="A206" s="43" t="n"/>
      <c r="B206" s="43" t="n"/>
      <c r="C206" s="44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4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  <c r="AA206" s="43" t="n"/>
    </row>
    <row r="207">
      <c r="A207" s="43" t="n"/>
      <c r="B207" s="43" t="n"/>
      <c r="C207" s="44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4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  <c r="AA207" s="43" t="n"/>
    </row>
    <row r="208">
      <c r="A208" s="43" t="n"/>
      <c r="B208" s="43" t="n"/>
      <c r="C208" s="44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4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  <c r="AA208" s="43" t="n"/>
    </row>
    <row r="209">
      <c r="A209" s="43" t="n"/>
      <c r="B209" s="43" t="n"/>
      <c r="C209" s="44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4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  <c r="AA209" s="43" t="n"/>
    </row>
    <row r="210">
      <c r="A210" s="43" t="n"/>
      <c r="B210" s="43" t="n"/>
      <c r="C210" s="44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4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  <c r="AA210" s="43" t="n"/>
    </row>
    <row r="211">
      <c r="A211" s="43" t="n"/>
      <c r="B211" s="43" t="n"/>
      <c r="C211" s="44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4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  <c r="AA211" s="43" t="n"/>
    </row>
    <row r="212">
      <c r="A212" s="43" t="n"/>
      <c r="B212" s="43" t="n"/>
      <c r="C212" s="44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4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  <c r="AA212" s="43" t="n"/>
    </row>
    <row r="213">
      <c r="A213" s="43" t="n"/>
      <c r="B213" s="43" t="n"/>
      <c r="C213" s="44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4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  <c r="AA213" s="43" t="n"/>
    </row>
    <row r="214">
      <c r="A214" s="43" t="n"/>
      <c r="B214" s="43" t="n"/>
      <c r="C214" s="44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4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  <c r="AA214" s="43" t="n"/>
    </row>
    <row r="215">
      <c r="A215" s="43" t="n"/>
      <c r="B215" s="43" t="n"/>
      <c r="C215" s="44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4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3" t="n"/>
    </row>
    <row r="216">
      <c r="A216" s="43" t="n"/>
      <c r="B216" s="43" t="n"/>
      <c r="C216" s="44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4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  <c r="AA216" s="43" t="n"/>
    </row>
    <row r="217">
      <c r="A217" s="43" t="n"/>
      <c r="B217" s="43" t="n"/>
      <c r="C217" s="44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4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  <c r="AA217" s="43" t="n"/>
    </row>
    <row r="218">
      <c r="A218" s="43" t="n"/>
      <c r="B218" s="43" t="n"/>
      <c r="C218" s="44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4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  <c r="AA218" s="43" t="n"/>
    </row>
    <row r="219">
      <c r="A219" s="43" t="n"/>
      <c r="B219" s="43" t="n"/>
      <c r="C219" s="44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4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  <c r="AA219" s="43" t="n"/>
    </row>
    <row r="220">
      <c r="A220" s="43" t="n"/>
      <c r="B220" s="43" t="n"/>
      <c r="C220" s="44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4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3" t="n"/>
    </row>
    <row r="221">
      <c r="A221" s="43" t="n"/>
      <c r="B221" s="43" t="n"/>
      <c r="C221" s="44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4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  <c r="AA221" s="43" t="n"/>
    </row>
    <row r="222">
      <c r="A222" s="43" t="n"/>
      <c r="B222" s="43" t="n"/>
      <c r="C222" s="44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4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  <c r="AA222" s="43" t="n"/>
    </row>
    <row r="223">
      <c r="A223" s="43" t="n"/>
      <c r="B223" s="43" t="n"/>
      <c r="C223" s="44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4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3" t="n"/>
    </row>
    <row r="224">
      <c r="A224" s="43" t="n"/>
      <c r="B224" s="43" t="n"/>
      <c r="C224" s="44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4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  <c r="AA224" s="43" t="n"/>
    </row>
    <row r="225">
      <c r="A225" s="43" t="n"/>
      <c r="B225" s="43" t="n"/>
      <c r="C225" s="44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4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  <c r="AA225" s="43" t="n"/>
    </row>
    <row r="226">
      <c r="A226" s="43" t="n"/>
      <c r="B226" s="43" t="n"/>
      <c r="C226" s="44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4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  <c r="AA226" s="43" t="n"/>
    </row>
    <row r="227">
      <c r="A227" s="43" t="n"/>
      <c r="B227" s="43" t="n"/>
      <c r="C227" s="44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4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3" t="n"/>
    </row>
    <row r="228">
      <c r="A228" s="43" t="n"/>
      <c r="B228" s="43" t="n"/>
      <c r="C228" s="44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4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  <c r="AA228" s="43" t="n"/>
    </row>
    <row r="229">
      <c r="A229" s="43" t="n"/>
      <c r="B229" s="43" t="n"/>
      <c r="C229" s="44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4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  <c r="AA229" s="43" t="n"/>
    </row>
    <row r="230">
      <c r="A230" s="43" t="n"/>
      <c r="B230" s="43" t="n"/>
      <c r="C230" s="44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4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  <c r="AA230" s="43" t="n"/>
    </row>
    <row r="231">
      <c r="A231" s="43" t="n"/>
      <c r="B231" s="43" t="n"/>
      <c r="C231" s="44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4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3" t="n"/>
    </row>
    <row r="232">
      <c r="A232" s="43" t="n"/>
      <c r="B232" s="43" t="n"/>
      <c r="C232" s="44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4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  <c r="AA232" s="43" t="n"/>
    </row>
    <row r="233">
      <c r="A233" s="43" t="n"/>
      <c r="B233" s="43" t="n"/>
      <c r="C233" s="44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4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  <c r="AA233" s="43" t="n"/>
    </row>
    <row r="234">
      <c r="A234" s="43" t="n"/>
      <c r="B234" s="43" t="n"/>
      <c r="C234" s="44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4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  <c r="AA234" s="43" t="n"/>
    </row>
    <row r="235">
      <c r="A235" s="43" t="n"/>
      <c r="B235" s="43" t="n"/>
      <c r="C235" s="44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4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3" t="n"/>
    </row>
    <row r="236">
      <c r="A236" s="43" t="n"/>
      <c r="B236" s="43" t="n"/>
      <c r="C236" s="44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4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  <c r="AA236" s="43" t="n"/>
    </row>
    <row r="237">
      <c r="A237" s="43" t="n"/>
      <c r="B237" s="43" t="n"/>
      <c r="C237" s="44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4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  <c r="AA237" s="43" t="n"/>
    </row>
    <row r="238">
      <c r="A238" s="43" t="n"/>
      <c r="B238" s="43" t="n"/>
      <c r="C238" s="44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4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  <c r="AA238" s="43" t="n"/>
    </row>
    <row r="239">
      <c r="A239" s="43" t="n"/>
      <c r="B239" s="43" t="n"/>
      <c r="C239" s="44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4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3" t="n"/>
    </row>
    <row r="240">
      <c r="A240" s="43" t="n"/>
      <c r="B240" s="43" t="n"/>
      <c r="C240" s="44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4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  <c r="AA240" s="43" t="n"/>
    </row>
    <row r="241">
      <c r="A241" s="43" t="n"/>
      <c r="B241" s="43" t="n"/>
      <c r="C241" s="44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4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  <c r="AA241" s="43" t="n"/>
    </row>
    <row r="242">
      <c r="A242" s="43" t="n"/>
      <c r="B242" s="43" t="n"/>
      <c r="C242" s="44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4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3" t="n"/>
    </row>
    <row r="243">
      <c r="A243" s="43" t="n"/>
      <c r="B243" s="43" t="n"/>
      <c r="C243" s="44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4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  <c r="AA243" s="43" t="n"/>
    </row>
    <row r="244">
      <c r="A244" s="43" t="n"/>
      <c r="B244" s="43" t="n"/>
      <c r="C244" s="44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4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  <c r="AA244" s="43" t="n"/>
    </row>
    <row r="245">
      <c r="A245" s="43" t="n"/>
      <c r="B245" s="43" t="n"/>
      <c r="C245" s="44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4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  <c r="AA245" s="43" t="n"/>
    </row>
    <row r="246">
      <c r="A246" s="43" t="n"/>
      <c r="B246" s="43" t="n"/>
      <c r="C246" s="44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4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  <c r="AA246" s="43" t="n"/>
    </row>
    <row r="247">
      <c r="A247" s="43" t="n"/>
      <c r="B247" s="43" t="n"/>
      <c r="C247" s="44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4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  <c r="AA247" s="43" t="n"/>
    </row>
    <row r="248">
      <c r="A248" s="43" t="n"/>
      <c r="B248" s="43" t="n"/>
      <c r="C248" s="44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4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  <c r="AA248" s="43" t="n"/>
    </row>
    <row r="249">
      <c r="A249" s="43" t="n"/>
      <c r="B249" s="43" t="n"/>
      <c r="C249" s="44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4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  <c r="AA249" s="43" t="n"/>
    </row>
    <row r="250">
      <c r="A250" s="43" t="n"/>
      <c r="B250" s="43" t="n"/>
      <c r="C250" s="44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4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  <c r="AA250" s="43" t="n"/>
    </row>
    <row r="251">
      <c r="A251" s="43" t="n"/>
      <c r="B251" s="43" t="n"/>
      <c r="C251" s="44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4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  <c r="AA251" s="43" t="n"/>
    </row>
    <row r="252">
      <c r="A252" s="43" t="n"/>
      <c r="B252" s="43" t="n"/>
      <c r="C252" s="44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4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  <c r="AA252" s="43" t="n"/>
    </row>
    <row r="253">
      <c r="A253" s="43" t="n"/>
      <c r="B253" s="43" t="n"/>
      <c r="C253" s="44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4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  <c r="AA253" s="43" t="n"/>
    </row>
    <row r="254">
      <c r="A254" s="43" t="n"/>
      <c r="B254" s="43" t="n"/>
      <c r="C254" s="44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4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  <c r="AA254" s="43" t="n"/>
    </row>
    <row r="255">
      <c r="A255" s="43" t="n"/>
      <c r="B255" s="43" t="n"/>
      <c r="C255" s="44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4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  <c r="AA255" s="43" t="n"/>
    </row>
    <row r="256">
      <c r="A256" s="43" t="n"/>
      <c r="B256" s="43" t="n"/>
      <c r="C256" s="44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4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  <c r="AA256" s="43" t="n"/>
    </row>
    <row r="257">
      <c r="A257" s="43" t="n"/>
      <c r="B257" s="43" t="n"/>
      <c r="C257" s="44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4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  <c r="AA257" s="43" t="n"/>
    </row>
    <row r="258">
      <c r="A258" s="43" t="n"/>
      <c r="B258" s="43" t="n"/>
      <c r="C258" s="44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4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  <c r="AA258" s="43" t="n"/>
    </row>
    <row r="259">
      <c r="A259" s="43" t="n"/>
      <c r="B259" s="43" t="n"/>
      <c r="C259" s="44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4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  <c r="AA259" s="43" t="n"/>
    </row>
    <row r="260">
      <c r="A260" s="43" t="n"/>
      <c r="B260" s="43" t="n"/>
      <c r="C260" s="44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4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  <c r="AA260" s="43" t="n"/>
    </row>
    <row r="261">
      <c r="A261" s="43" t="n"/>
      <c r="B261" s="43" t="n"/>
      <c r="C261" s="44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4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  <c r="AA261" s="43" t="n"/>
    </row>
    <row r="262">
      <c r="A262" s="43" t="n"/>
      <c r="B262" s="43" t="n"/>
      <c r="C262" s="44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4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  <c r="AA262" s="43" t="n"/>
    </row>
    <row r="263">
      <c r="A263" s="43" t="n"/>
      <c r="B263" s="43" t="n"/>
      <c r="C263" s="44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4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  <c r="AA263" s="43" t="n"/>
    </row>
    <row r="264">
      <c r="A264" s="43" t="n"/>
      <c r="B264" s="43" t="n"/>
      <c r="C264" s="44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4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  <c r="AA264" s="43" t="n"/>
    </row>
    <row r="265">
      <c r="A265" s="43" t="n"/>
      <c r="B265" s="43" t="n"/>
      <c r="C265" s="44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4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  <c r="AA265" s="43" t="n"/>
    </row>
    <row r="266">
      <c r="A266" s="43" t="n"/>
      <c r="B266" s="43" t="n"/>
      <c r="C266" s="44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4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  <c r="AA266" s="43" t="n"/>
    </row>
    <row r="267">
      <c r="A267" s="43" t="n"/>
      <c r="B267" s="43" t="n"/>
      <c r="C267" s="44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4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  <c r="AA267" s="43" t="n"/>
    </row>
    <row r="268">
      <c r="A268" s="43" t="n"/>
      <c r="B268" s="43" t="n"/>
      <c r="C268" s="44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4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3" t="n"/>
    </row>
    <row r="269">
      <c r="A269" s="43" t="n"/>
      <c r="B269" s="43" t="n"/>
      <c r="C269" s="44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4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  <c r="AA269" s="43" t="n"/>
    </row>
    <row r="270">
      <c r="A270" s="43" t="n"/>
      <c r="B270" s="43" t="n"/>
      <c r="C270" s="44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4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3" t="n"/>
    </row>
    <row r="271">
      <c r="A271" s="43" t="n"/>
      <c r="B271" s="43" t="n"/>
      <c r="C271" s="44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4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  <c r="AA271" s="43" t="n"/>
    </row>
    <row r="272">
      <c r="A272" s="43" t="n"/>
      <c r="B272" s="43" t="n"/>
      <c r="C272" s="44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4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  <c r="AA272" s="43" t="n"/>
    </row>
    <row r="273">
      <c r="A273" s="43" t="n"/>
      <c r="B273" s="43" t="n"/>
      <c r="C273" s="44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4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3" t="n"/>
    </row>
    <row r="274">
      <c r="A274" s="43" t="n"/>
      <c r="B274" s="43" t="n"/>
      <c r="C274" s="44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4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  <c r="AA274" s="43" t="n"/>
    </row>
    <row r="275">
      <c r="A275" s="43" t="n"/>
      <c r="B275" s="43" t="n"/>
      <c r="C275" s="44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4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  <c r="AA275" s="43" t="n"/>
    </row>
    <row r="276">
      <c r="A276" s="43" t="n"/>
      <c r="B276" s="43" t="n"/>
      <c r="C276" s="44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4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  <c r="AA276" s="43" t="n"/>
    </row>
    <row r="277">
      <c r="A277" s="43" t="n"/>
      <c r="B277" s="43" t="n"/>
      <c r="C277" s="44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4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  <c r="AA277" s="43" t="n"/>
    </row>
    <row r="278">
      <c r="A278" s="43" t="n"/>
      <c r="B278" s="43" t="n"/>
      <c r="C278" s="44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4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  <c r="AA278" s="43" t="n"/>
    </row>
    <row r="279">
      <c r="A279" s="43" t="n"/>
      <c r="B279" s="43" t="n"/>
      <c r="C279" s="44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4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  <c r="AA279" s="43" t="n"/>
    </row>
    <row r="280">
      <c r="A280" s="43" t="n"/>
      <c r="B280" s="43" t="n"/>
      <c r="C280" s="44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4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  <c r="AA280" s="43" t="n"/>
    </row>
    <row r="281">
      <c r="A281" s="43" t="n"/>
      <c r="B281" s="43" t="n"/>
      <c r="C281" s="44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4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  <c r="AA281" s="43" t="n"/>
    </row>
    <row r="282">
      <c r="A282" s="43" t="n"/>
      <c r="B282" s="43" t="n"/>
      <c r="C282" s="44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4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  <c r="AA282" s="43" t="n"/>
    </row>
    <row r="283">
      <c r="A283" s="43" t="n"/>
      <c r="B283" s="43" t="n"/>
      <c r="C283" s="44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4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  <c r="AA283" s="43" t="n"/>
    </row>
    <row r="284">
      <c r="A284" s="43" t="n"/>
      <c r="B284" s="43" t="n"/>
      <c r="C284" s="44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4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  <c r="AA284" s="43" t="n"/>
    </row>
    <row r="285">
      <c r="A285" s="43" t="n"/>
      <c r="B285" s="43" t="n"/>
      <c r="C285" s="44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4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  <c r="AA285" s="43" t="n"/>
    </row>
    <row r="286">
      <c r="A286" s="43" t="n"/>
      <c r="B286" s="43" t="n"/>
      <c r="C286" s="44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4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  <c r="AA286" s="43" t="n"/>
    </row>
    <row r="287">
      <c r="A287" s="43" t="n"/>
      <c r="B287" s="43" t="n"/>
      <c r="C287" s="44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4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  <c r="AA287" s="43" t="n"/>
    </row>
    <row r="288">
      <c r="A288" s="43" t="n"/>
      <c r="B288" s="43" t="n"/>
      <c r="C288" s="44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4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  <c r="AA288" s="43" t="n"/>
    </row>
    <row r="289">
      <c r="A289" s="43" t="n"/>
      <c r="B289" s="43" t="n"/>
      <c r="C289" s="44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4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  <c r="AA289" s="43" t="n"/>
    </row>
    <row r="290">
      <c r="A290" s="43" t="n"/>
      <c r="B290" s="43" t="n"/>
      <c r="C290" s="44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4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  <c r="AA290" s="43" t="n"/>
    </row>
    <row r="291">
      <c r="A291" s="43" t="n"/>
      <c r="B291" s="43" t="n"/>
      <c r="C291" s="44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4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  <c r="AA291" s="43" t="n"/>
    </row>
    <row r="292">
      <c r="A292" s="43" t="n"/>
      <c r="B292" s="43" t="n"/>
      <c r="C292" s="44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4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  <c r="AA292" s="43" t="n"/>
    </row>
    <row r="293">
      <c r="A293" s="43" t="n"/>
      <c r="B293" s="43" t="n"/>
      <c r="C293" s="44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4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  <c r="AA293" s="43" t="n"/>
    </row>
    <row r="294">
      <c r="A294" s="43" t="n"/>
      <c r="B294" s="43" t="n"/>
      <c r="C294" s="44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4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  <c r="AA294" s="43" t="n"/>
    </row>
    <row r="295">
      <c r="A295" s="43" t="n"/>
      <c r="B295" s="43" t="n"/>
      <c r="C295" s="44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4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  <c r="AA295" s="43" t="n"/>
    </row>
    <row r="296">
      <c r="A296" s="43" t="n"/>
      <c r="B296" s="43" t="n"/>
      <c r="C296" s="44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4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  <c r="AA296" s="43" t="n"/>
    </row>
    <row r="297">
      <c r="A297" s="43" t="n"/>
      <c r="B297" s="43" t="n"/>
      <c r="C297" s="44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4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  <c r="AA297" s="43" t="n"/>
    </row>
    <row r="298">
      <c r="A298" s="43" t="n"/>
      <c r="B298" s="43" t="n"/>
      <c r="C298" s="44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4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3" t="n"/>
    </row>
    <row r="299">
      <c r="A299" s="43" t="n"/>
      <c r="B299" s="43" t="n"/>
      <c r="C299" s="44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4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  <c r="AA299" s="43" t="n"/>
    </row>
    <row r="300">
      <c r="A300" s="43" t="n"/>
      <c r="B300" s="43" t="n"/>
      <c r="C300" s="44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4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  <c r="AA300" s="43" t="n"/>
    </row>
    <row r="301">
      <c r="A301" s="43" t="n"/>
      <c r="B301" s="43" t="n"/>
      <c r="C301" s="44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4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  <c r="AA301" s="43" t="n"/>
    </row>
    <row r="302">
      <c r="A302" s="43" t="n"/>
      <c r="B302" s="43" t="n"/>
      <c r="C302" s="44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4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  <c r="AA302" s="43" t="n"/>
    </row>
    <row r="303">
      <c r="A303" s="43" t="n"/>
      <c r="B303" s="43" t="n"/>
      <c r="C303" s="44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4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  <c r="AA303" s="43" t="n"/>
    </row>
    <row r="304">
      <c r="A304" s="43" t="n"/>
      <c r="B304" s="43" t="n"/>
      <c r="C304" s="44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4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  <c r="AA304" s="43" t="n"/>
    </row>
    <row r="305">
      <c r="A305" s="43" t="n"/>
      <c r="B305" s="43" t="n"/>
      <c r="C305" s="44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4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  <c r="AA305" s="43" t="n"/>
    </row>
    <row r="306">
      <c r="A306" s="43" t="n"/>
      <c r="B306" s="43" t="n"/>
      <c r="C306" s="44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4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3" t="n"/>
    </row>
    <row r="307">
      <c r="A307" s="43" t="n"/>
      <c r="B307" s="43" t="n"/>
      <c r="C307" s="44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4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  <c r="AA307" s="43" t="n"/>
    </row>
    <row r="308">
      <c r="A308" s="43" t="n"/>
      <c r="B308" s="43" t="n"/>
      <c r="C308" s="44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4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  <c r="AA308" s="43" t="n"/>
    </row>
    <row r="309">
      <c r="A309" s="43" t="n"/>
      <c r="B309" s="43" t="n"/>
      <c r="C309" s="44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4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  <c r="AA309" s="43" t="n"/>
    </row>
    <row r="310">
      <c r="A310" s="43" t="n"/>
      <c r="B310" s="43" t="n"/>
      <c r="C310" s="44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4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  <c r="AA310" s="43" t="n"/>
    </row>
    <row r="311">
      <c r="A311" s="43" t="n"/>
      <c r="B311" s="43" t="n"/>
      <c r="C311" s="44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4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3" t="n"/>
    </row>
    <row r="312">
      <c r="A312" s="43" t="n"/>
      <c r="B312" s="43" t="n"/>
      <c r="C312" s="44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4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  <c r="AA312" s="43" t="n"/>
    </row>
    <row r="313">
      <c r="A313" s="43" t="n"/>
      <c r="B313" s="43" t="n"/>
      <c r="C313" s="44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4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  <c r="AA313" s="43" t="n"/>
    </row>
    <row r="314">
      <c r="A314" s="43" t="n"/>
      <c r="B314" s="43" t="n"/>
      <c r="C314" s="44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4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  <c r="AA314" s="43" t="n"/>
    </row>
    <row r="315">
      <c r="A315" s="43" t="n"/>
      <c r="B315" s="43" t="n"/>
      <c r="C315" s="44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4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  <c r="AA315" s="43" t="n"/>
    </row>
    <row r="316">
      <c r="A316" s="43" t="n"/>
      <c r="B316" s="43" t="n"/>
      <c r="C316" s="44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4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3" t="n"/>
    </row>
    <row r="317">
      <c r="A317" s="43" t="n"/>
      <c r="B317" s="43" t="n"/>
      <c r="C317" s="44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4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  <c r="AA317" s="43" t="n"/>
    </row>
    <row r="318">
      <c r="A318" s="43" t="n"/>
      <c r="B318" s="43" t="n"/>
      <c r="C318" s="44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4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  <c r="AA318" s="43" t="n"/>
    </row>
    <row r="319">
      <c r="A319" s="43" t="n"/>
      <c r="B319" s="43" t="n"/>
      <c r="C319" s="44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4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3" t="n"/>
    </row>
    <row r="320">
      <c r="A320" s="43" t="n"/>
      <c r="B320" s="43" t="n"/>
      <c r="C320" s="44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4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  <c r="AA320" s="43" t="n"/>
    </row>
    <row r="321">
      <c r="A321" s="43" t="n"/>
      <c r="B321" s="43" t="n"/>
      <c r="C321" s="44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4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  <c r="AA321" s="43" t="n"/>
    </row>
    <row r="322">
      <c r="A322" s="43" t="n"/>
      <c r="B322" s="43" t="n"/>
      <c r="C322" s="44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4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  <c r="AA322" s="43" t="n"/>
    </row>
    <row r="323">
      <c r="A323" s="43" t="n"/>
      <c r="B323" s="43" t="n"/>
      <c r="C323" s="44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4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  <c r="AA323" s="43" t="n"/>
    </row>
    <row r="324">
      <c r="A324" s="43" t="n"/>
      <c r="B324" s="43" t="n"/>
      <c r="C324" s="44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4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  <c r="AA324" s="43" t="n"/>
    </row>
    <row r="325">
      <c r="A325" s="43" t="n"/>
      <c r="B325" s="43" t="n"/>
      <c r="C325" s="44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4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  <c r="AA325" s="43" t="n"/>
    </row>
    <row r="326">
      <c r="A326" s="43" t="n"/>
      <c r="B326" s="43" t="n"/>
      <c r="C326" s="44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4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  <c r="AA326" s="43" t="n"/>
    </row>
    <row r="327">
      <c r="A327" s="43" t="n"/>
      <c r="B327" s="43" t="n"/>
      <c r="C327" s="44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4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  <c r="AA327" s="43" t="n"/>
    </row>
    <row r="328">
      <c r="A328" s="43" t="n"/>
      <c r="B328" s="43" t="n"/>
      <c r="C328" s="44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4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  <c r="AA328" s="43" t="n"/>
    </row>
    <row r="329">
      <c r="A329" s="43" t="n"/>
      <c r="B329" s="43" t="n"/>
      <c r="C329" s="44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4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  <c r="AA329" s="43" t="n"/>
    </row>
    <row r="330">
      <c r="A330" s="43" t="n"/>
      <c r="B330" s="43" t="n"/>
      <c r="C330" s="44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4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  <c r="AA330" s="43" t="n"/>
    </row>
    <row r="331">
      <c r="A331" s="43" t="n"/>
      <c r="B331" s="43" t="n"/>
      <c r="C331" s="44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4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  <c r="AA331" s="43" t="n"/>
    </row>
    <row r="332">
      <c r="A332" s="43" t="n"/>
      <c r="B332" s="43" t="n"/>
      <c r="C332" s="44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4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3" t="n"/>
    </row>
    <row r="333">
      <c r="A333" s="43" t="n"/>
      <c r="B333" s="43" t="n"/>
      <c r="C333" s="44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4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  <c r="AA333" s="43" t="n"/>
    </row>
    <row r="334">
      <c r="A334" s="43" t="n"/>
      <c r="B334" s="43" t="n"/>
      <c r="C334" s="44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4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  <c r="AA334" s="43" t="n"/>
    </row>
    <row r="335">
      <c r="A335" s="43" t="n"/>
      <c r="B335" s="43" t="n"/>
      <c r="C335" s="44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4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3" t="n"/>
    </row>
    <row r="336">
      <c r="A336" s="43" t="n"/>
      <c r="B336" s="43" t="n"/>
      <c r="C336" s="44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4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  <c r="AA336" s="43" t="n"/>
    </row>
    <row r="337">
      <c r="A337" s="43" t="n"/>
      <c r="B337" s="43" t="n"/>
      <c r="C337" s="44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4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  <c r="AA337" s="43" t="n"/>
    </row>
    <row r="338">
      <c r="A338" s="43" t="n"/>
      <c r="B338" s="43" t="n"/>
      <c r="C338" s="44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4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3" t="n"/>
    </row>
    <row r="339">
      <c r="A339" s="43" t="n"/>
      <c r="B339" s="43" t="n"/>
      <c r="C339" s="44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4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  <c r="AA339" s="43" t="n"/>
    </row>
    <row r="340">
      <c r="A340" s="43" t="n"/>
      <c r="B340" s="43" t="n"/>
      <c r="C340" s="44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4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  <c r="AA340" s="43" t="n"/>
    </row>
    <row r="341">
      <c r="A341" s="43" t="n"/>
      <c r="B341" s="43" t="n"/>
      <c r="C341" s="44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4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  <c r="AA341" s="43" t="n"/>
    </row>
    <row r="342">
      <c r="A342" s="43" t="n"/>
      <c r="B342" s="43" t="n"/>
      <c r="C342" s="44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4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  <c r="AA342" s="43" t="n"/>
    </row>
    <row r="343">
      <c r="A343" s="43" t="n"/>
      <c r="B343" s="43" t="n"/>
      <c r="C343" s="44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4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  <c r="AA343" s="43" t="n"/>
    </row>
    <row r="344">
      <c r="A344" s="43" t="n"/>
      <c r="B344" s="43" t="n"/>
      <c r="C344" s="44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4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  <c r="AA344" s="43" t="n"/>
    </row>
    <row r="345">
      <c r="A345" s="43" t="n"/>
      <c r="B345" s="43" t="n"/>
      <c r="C345" s="44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4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  <c r="AA345" s="43" t="n"/>
    </row>
    <row r="346">
      <c r="A346" s="43" t="n"/>
      <c r="B346" s="43" t="n"/>
      <c r="C346" s="44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4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  <c r="AA346" s="43" t="n"/>
    </row>
    <row r="347">
      <c r="A347" s="43" t="n"/>
      <c r="B347" s="43" t="n"/>
      <c r="C347" s="44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4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  <c r="AA347" s="43" t="n"/>
    </row>
    <row r="348">
      <c r="A348" s="43" t="n"/>
      <c r="B348" s="43" t="n"/>
      <c r="C348" s="44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4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  <c r="AA348" s="43" t="n"/>
    </row>
    <row r="349">
      <c r="A349" s="43" t="n"/>
      <c r="B349" s="43" t="n"/>
      <c r="C349" s="44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4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  <c r="AA349" s="43" t="n"/>
    </row>
    <row r="350">
      <c r="A350" s="43" t="n"/>
      <c r="B350" s="43" t="n"/>
      <c r="C350" s="44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4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  <c r="AA350" s="43" t="n"/>
    </row>
    <row r="351">
      <c r="A351" s="43" t="n"/>
      <c r="B351" s="43" t="n"/>
      <c r="C351" s="44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4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  <c r="AA351" s="43" t="n"/>
    </row>
    <row r="352">
      <c r="A352" s="43" t="n"/>
      <c r="B352" s="43" t="n"/>
      <c r="C352" s="44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4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  <c r="AA352" s="43" t="n"/>
    </row>
    <row r="353">
      <c r="A353" s="43" t="n"/>
      <c r="B353" s="43" t="n"/>
      <c r="C353" s="44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4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  <c r="AA353" s="43" t="n"/>
    </row>
    <row r="354">
      <c r="A354" s="43" t="n"/>
      <c r="B354" s="43" t="n"/>
      <c r="C354" s="44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4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  <c r="AA354" s="43" t="n"/>
    </row>
    <row r="355">
      <c r="A355" s="43" t="n"/>
      <c r="B355" s="43" t="n"/>
      <c r="C355" s="44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4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  <c r="AA355" s="43" t="n"/>
    </row>
    <row r="356">
      <c r="A356" s="43" t="n"/>
      <c r="B356" s="43" t="n"/>
      <c r="C356" s="44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4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  <c r="AA356" s="43" t="n"/>
    </row>
    <row r="357">
      <c r="A357" s="43" t="n"/>
      <c r="B357" s="43" t="n"/>
      <c r="C357" s="44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4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  <c r="AA357" s="43" t="n"/>
    </row>
    <row r="358">
      <c r="A358" s="43" t="n"/>
      <c r="B358" s="43" t="n"/>
      <c r="C358" s="44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4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  <c r="AA358" s="43" t="n"/>
    </row>
    <row r="359">
      <c r="A359" s="43" t="n"/>
      <c r="B359" s="43" t="n"/>
      <c r="C359" s="44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4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  <c r="AA359" s="43" t="n"/>
    </row>
    <row r="360">
      <c r="A360" s="43" t="n"/>
      <c r="B360" s="43" t="n"/>
      <c r="C360" s="44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4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  <c r="AA360" s="43" t="n"/>
    </row>
    <row r="361">
      <c r="A361" s="43" t="n"/>
      <c r="B361" s="43" t="n"/>
      <c r="C361" s="44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4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  <c r="AA361" s="43" t="n"/>
    </row>
    <row r="362">
      <c r="A362" s="43" t="n"/>
      <c r="B362" s="43" t="n"/>
      <c r="C362" s="44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4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  <c r="AA362" s="43" t="n"/>
    </row>
    <row r="363">
      <c r="A363" s="43" t="n"/>
      <c r="B363" s="43" t="n"/>
      <c r="C363" s="44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4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  <c r="AA363" s="43" t="n"/>
    </row>
    <row r="364">
      <c r="A364" s="43" t="n"/>
      <c r="B364" s="43" t="n"/>
      <c r="C364" s="44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4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  <c r="AA364" s="43" t="n"/>
    </row>
    <row r="365">
      <c r="A365" s="43" t="n"/>
      <c r="B365" s="43" t="n"/>
      <c r="C365" s="44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4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  <c r="AA365" s="43" t="n"/>
    </row>
    <row r="366">
      <c r="A366" s="43" t="n"/>
      <c r="B366" s="43" t="n"/>
      <c r="C366" s="44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4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  <c r="AA366" s="43" t="n"/>
    </row>
    <row r="367">
      <c r="A367" s="43" t="n"/>
      <c r="B367" s="43" t="n"/>
      <c r="C367" s="44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4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  <c r="AA367" s="43" t="n"/>
    </row>
    <row r="368">
      <c r="A368" s="43" t="n"/>
      <c r="B368" s="43" t="n"/>
      <c r="C368" s="44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4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  <c r="AA368" s="43" t="n"/>
    </row>
    <row r="369">
      <c r="A369" s="43" t="n"/>
      <c r="B369" s="43" t="n"/>
      <c r="C369" s="44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4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  <c r="AA369" s="43" t="n"/>
    </row>
    <row r="370">
      <c r="A370" s="43" t="n"/>
      <c r="B370" s="43" t="n"/>
      <c r="C370" s="44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4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  <c r="AA370" s="43" t="n"/>
    </row>
    <row r="371">
      <c r="A371" s="43" t="n"/>
      <c r="B371" s="43" t="n"/>
      <c r="C371" s="44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4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  <c r="AA371" s="43" t="n"/>
    </row>
    <row r="372">
      <c r="A372" s="43" t="n"/>
      <c r="B372" s="43" t="n"/>
      <c r="C372" s="44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4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  <c r="AA372" s="43" t="n"/>
    </row>
    <row r="373">
      <c r="A373" s="43" t="n"/>
      <c r="B373" s="43" t="n"/>
      <c r="C373" s="44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4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  <c r="AA373" s="43" t="n"/>
    </row>
    <row r="374">
      <c r="A374" s="43" t="n"/>
      <c r="B374" s="43" t="n"/>
      <c r="C374" s="44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4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  <c r="AA374" s="43" t="n"/>
    </row>
    <row r="375">
      <c r="A375" s="43" t="n"/>
      <c r="B375" s="43" t="n"/>
      <c r="C375" s="44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4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  <c r="AA375" s="43" t="n"/>
    </row>
    <row r="376">
      <c r="A376" s="43" t="n"/>
      <c r="B376" s="43" t="n"/>
      <c r="C376" s="44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4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  <c r="AA376" s="43" t="n"/>
    </row>
    <row r="377">
      <c r="A377" s="43" t="n"/>
      <c r="B377" s="43" t="n"/>
      <c r="C377" s="44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4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  <c r="AA377" s="43" t="n"/>
    </row>
    <row r="378">
      <c r="A378" s="43" t="n"/>
      <c r="B378" s="43" t="n"/>
      <c r="C378" s="44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4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  <c r="AA378" s="43" t="n"/>
    </row>
    <row r="379">
      <c r="A379" s="43" t="n"/>
      <c r="B379" s="43" t="n"/>
      <c r="C379" s="44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4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  <c r="AA379" s="43" t="n"/>
    </row>
    <row r="380">
      <c r="A380" s="43" t="n"/>
      <c r="B380" s="43" t="n"/>
      <c r="C380" s="44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4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  <c r="AA380" s="43" t="n"/>
    </row>
    <row r="381">
      <c r="A381" s="43" t="n"/>
      <c r="B381" s="43" t="n"/>
      <c r="C381" s="44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4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  <c r="AA381" s="43" t="n"/>
    </row>
    <row r="382">
      <c r="A382" s="43" t="n"/>
      <c r="B382" s="43" t="n"/>
      <c r="C382" s="44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4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  <c r="AA382" s="43" t="n"/>
    </row>
    <row r="383">
      <c r="A383" s="43" t="n"/>
      <c r="B383" s="43" t="n"/>
      <c r="C383" s="44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4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  <c r="AA383" s="43" t="n"/>
    </row>
    <row r="384">
      <c r="A384" s="43" t="n"/>
      <c r="B384" s="43" t="n"/>
      <c r="C384" s="44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4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  <c r="AA384" s="43" t="n"/>
    </row>
    <row r="385">
      <c r="A385" s="43" t="n"/>
      <c r="B385" s="43" t="n"/>
      <c r="C385" s="44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4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  <c r="AA385" s="43" t="n"/>
    </row>
    <row r="386">
      <c r="A386" s="43" t="n"/>
      <c r="B386" s="43" t="n"/>
      <c r="C386" s="44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4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  <c r="AA386" s="43" t="n"/>
    </row>
    <row r="387">
      <c r="A387" s="43" t="n"/>
      <c r="B387" s="43" t="n"/>
      <c r="C387" s="44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4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  <c r="AA387" s="43" t="n"/>
    </row>
    <row r="388">
      <c r="A388" s="43" t="n"/>
      <c r="B388" s="43" t="n"/>
      <c r="C388" s="44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4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  <c r="AA388" s="43" t="n"/>
    </row>
    <row r="389">
      <c r="A389" s="43" t="n"/>
      <c r="B389" s="43" t="n"/>
      <c r="C389" s="44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4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  <c r="AA389" s="43" t="n"/>
    </row>
    <row r="390">
      <c r="A390" s="43" t="n"/>
      <c r="B390" s="43" t="n"/>
      <c r="C390" s="44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4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  <c r="AA390" s="43" t="n"/>
    </row>
    <row r="391">
      <c r="A391" s="43" t="n"/>
      <c r="B391" s="43" t="n"/>
      <c r="C391" s="44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4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  <c r="AA391" s="43" t="n"/>
    </row>
    <row r="392">
      <c r="A392" s="43" t="n"/>
      <c r="B392" s="43" t="n"/>
      <c r="C392" s="44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4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  <c r="AA392" s="43" t="n"/>
    </row>
    <row r="393">
      <c r="A393" s="43" t="n"/>
      <c r="B393" s="43" t="n"/>
      <c r="C393" s="44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4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  <c r="AA393" s="43" t="n"/>
    </row>
    <row r="394">
      <c r="A394" s="43" t="n"/>
      <c r="B394" s="43" t="n"/>
      <c r="C394" s="44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4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  <c r="AA394" s="43" t="n"/>
    </row>
    <row r="395">
      <c r="A395" s="43" t="n"/>
      <c r="B395" s="43" t="n"/>
      <c r="C395" s="44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4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  <c r="AA395" s="43" t="n"/>
    </row>
    <row r="396">
      <c r="A396" s="43" t="n"/>
      <c r="B396" s="43" t="n"/>
      <c r="C396" s="44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4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  <c r="AA396" s="43" t="n"/>
    </row>
    <row r="397">
      <c r="A397" s="43" t="n"/>
      <c r="B397" s="43" t="n"/>
      <c r="C397" s="44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4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  <c r="AA397" s="43" t="n"/>
    </row>
    <row r="398">
      <c r="A398" s="43" t="n"/>
      <c r="B398" s="43" t="n"/>
      <c r="C398" s="44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4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  <c r="AA398" s="43" t="n"/>
    </row>
    <row r="399">
      <c r="A399" s="43" t="n"/>
      <c r="B399" s="43" t="n"/>
      <c r="C399" s="44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4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  <c r="AA399" s="43" t="n"/>
    </row>
    <row r="400">
      <c r="A400" s="43" t="n"/>
      <c r="B400" s="43" t="n"/>
      <c r="C400" s="44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4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  <c r="AA400" s="43" t="n"/>
    </row>
    <row r="401">
      <c r="A401" s="43" t="n"/>
      <c r="B401" s="43" t="n"/>
      <c r="C401" s="44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4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  <c r="AA401" s="43" t="n"/>
    </row>
    <row r="402">
      <c r="A402" s="43" t="n"/>
      <c r="B402" s="43" t="n"/>
      <c r="C402" s="44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4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  <c r="AA402" s="43" t="n"/>
    </row>
    <row r="403">
      <c r="A403" s="43" t="n"/>
      <c r="B403" s="43" t="n"/>
      <c r="C403" s="44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4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  <c r="AA403" s="43" t="n"/>
    </row>
    <row r="404">
      <c r="A404" s="43" t="n"/>
      <c r="B404" s="43" t="n"/>
      <c r="C404" s="44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4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  <c r="AA404" s="43" t="n"/>
    </row>
    <row r="405">
      <c r="A405" s="43" t="n"/>
      <c r="B405" s="43" t="n"/>
      <c r="C405" s="44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4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  <c r="AA405" s="4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AziDieLU4p7Sgs1DO0ARaA==" formatRows="0" sort="1" spinCount="100000" hashValue="iImQyt0fR2v9aS6pgyL5bmLo5VV+Kb+E0NNYKWJGHtlaziv6ZQvGL6rzh4Y5x7ZhglledCBBODjnQn41YG1esg=="/>
  <mergeCells count="197">
    <mergeCell ref="G38:I38"/>
    <mergeCell ref="D11:F11"/>
    <mergeCell ref="G13:I13"/>
    <mergeCell ref="J56:M56"/>
    <mergeCell ref="B3:F3"/>
    <mergeCell ref="G62:I62"/>
    <mergeCell ref="J43:M43"/>
    <mergeCell ref="D66:F66"/>
    <mergeCell ref="B6:K6"/>
    <mergeCell ref="D53:F53"/>
    <mergeCell ref="D47:F47"/>
    <mergeCell ref="J18:M18"/>
    <mergeCell ref="J33:M33"/>
    <mergeCell ref="G15:I15"/>
    <mergeCell ref="G24:I24"/>
    <mergeCell ref="J42:M42"/>
    <mergeCell ref="D28:F28"/>
    <mergeCell ref="D37:F37"/>
    <mergeCell ref="J17:M17"/>
    <mergeCell ref="G65:I65"/>
    <mergeCell ref="D12:F12"/>
    <mergeCell ref="D9:F9"/>
    <mergeCell ref="G26:I26"/>
    <mergeCell ref="J44:M44"/>
    <mergeCell ref="D30:F30"/>
    <mergeCell ref="D39:F39"/>
    <mergeCell ref="J67:M67"/>
    <mergeCell ref="J19:M19"/>
    <mergeCell ref="G63:I63"/>
    <mergeCell ref="J28:M28"/>
    <mergeCell ref="G16:I16"/>
    <mergeCell ref="J59:M59"/>
    <mergeCell ref="D14:F14"/>
    <mergeCell ref="D29:F29"/>
    <mergeCell ref="G50:I50"/>
    <mergeCell ref="D23:F23"/>
    <mergeCell ref="J60:M60"/>
    <mergeCell ref="J9:M9"/>
    <mergeCell ref="B4:D4"/>
    <mergeCell ref="E4:K4"/>
    <mergeCell ref="G9:I9"/>
    <mergeCell ref="J30:M30"/>
    <mergeCell ref="K3:M3"/>
    <mergeCell ref="J53:M53"/>
    <mergeCell ref="G52:I52"/>
    <mergeCell ref="J45:M45"/>
    <mergeCell ref="G36:I36"/>
    <mergeCell ref="G42:I42"/>
    <mergeCell ref="J55:M55"/>
    <mergeCell ref="D57:F57"/>
    <mergeCell ref="G28:I28"/>
    <mergeCell ref="D27:F27"/>
    <mergeCell ref="D41:F41"/>
    <mergeCell ref="G37:I37"/>
    <mergeCell ref="J47:M47"/>
    <mergeCell ref="D17:F17"/>
    <mergeCell ref="J62:M62"/>
    <mergeCell ref="G30:I30"/>
    <mergeCell ref="D43:F43"/>
    <mergeCell ref="J23:M23"/>
    <mergeCell ref="J58:M58"/>
    <mergeCell ref="B2:C2"/>
    <mergeCell ref="G14:I14"/>
    <mergeCell ref="C69:F69"/>
    <mergeCell ref="J8:M8"/>
    <mergeCell ref="J64:M64"/>
    <mergeCell ref="G55:I55"/>
    <mergeCell ref="G64:I64"/>
    <mergeCell ref="D68:F68"/>
    <mergeCell ref="D25:F25"/>
    <mergeCell ref="G51:I51"/>
    <mergeCell ref="J57:M57"/>
    <mergeCell ref="D55:F55"/>
    <mergeCell ref="J10:M10"/>
    <mergeCell ref="G54:I54"/>
    <mergeCell ref="G32:I32"/>
    <mergeCell ref="D67:F67"/>
    <mergeCell ref="G41:I41"/>
    <mergeCell ref="D54:F54"/>
    <mergeCell ref="J34:M34"/>
    <mergeCell ref="D60:F60"/>
    <mergeCell ref="G56:I56"/>
    <mergeCell ref="J68:M68"/>
    <mergeCell ref="G43:I43"/>
    <mergeCell ref="J49:M49"/>
    <mergeCell ref="J27:M27"/>
    <mergeCell ref="J36:M36"/>
    <mergeCell ref="G27:I27"/>
    <mergeCell ref="L6:M6"/>
    <mergeCell ref="D31:F31"/>
    <mergeCell ref="D46:F46"/>
    <mergeCell ref="D40:F40"/>
    <mergeCell ref="J11:M11"/>
    <mergeCell ref="J20:M20"/>
    <mergeCell ref="G8:I8"/>
    <mergeCell ref="B5:F5"/>
    <mergeCell ref="G17:I17"/>
    <mergeCell ref="D21:F21"/>
    <mergeCell ref="J22:M22"/>
    <mergeCell ref="G10:I10"/>
    <mergeCell ref="G66:I66"/>
    <mergeCell ref="J31:M31"/>
    <mergeCell ref="G19:I19"/>
    <mergeCell ref="G53:I53"/>
    <mergeCell ref="D32:F32"/>
    <mergeCell ref="J12:M12"/>
    <mergeCell ref="J46:M46"/>
    <mergeCell ref="J21:M21"/>
    <mergeCell ref="G34:I34"/>
    <mergeCell ref="J51:M51"/>
    <mergeCell ref="G68:I68"/>
    <mergeCell ref="D16:F16"/>
    <mergeCell ref="J61:M61"/>
    <mergeCell ref="G58:I58"/>
    <mergeCell ref="J48:M48"/>
    <mergeCell ref="G45:I45"/>
    <mergeCell ref="D18:F18"/>
    <mergeCell ref="D58:F58"/>
    <mergeCell ref="G20:I20"/>
    <mergeCell ref="J38:M38"/>
    <mergeCell ref="D8:F8"/>
    <mergeCell ref="G29:I29"/>
    <mergeCell ref="D33:F33"/>
    <mergeCell ref="D51:F51"/>
    <mergeCell ref="D42:F42"/>
    <mergeCell ref="G47:I47"/>
    <mergeCell ref="G44:I44"/>
    <mergeCell ref="J40:M40"/>
    <mergeCell ref="G22:I22"/>
    <mergeCell ref="G31:I31"/>
    <mergeCell ref="G46:I46"/>
    <mergeCell ref="D35:F35"/>
    <mergeCell ref="D50:F50"/>
    <mergeCell ref="G40:I40"/>
    <mergeCell ref="D44:F44"/>
    <mergeCell ref="J24:M24"/>
    <mergeCell ref="G12:I12"/>
    <mergeCell ref="D59:F59"/>
    <mergeCell ref="I5:M5"/>
    <mergeCell ref="D20:F20"/>
    <mergeCell ref="G21:I21"/>
    <mergeCell ref="D34:F34"/>
    <mergeCell ref="J65:M65"/>
    <mergeCell ref="J26:M26"/>
    <mergeCell ref="J35:M35"/>
    <mergeCell ref="D22:F22"/>
    <mergeCell ref="G23:I23"/>
    <mergeCell ref="D36:F36"/>
    <mergeCell ref="D45:F45"/>
    <mergeCell ref="J16:M16"/>
    <mergeCell ref="J25:M25"/>
    <mergeCell ref="D13:F13"/>
    <mergeCell ref="J66:M66"/>
    <mergeCell ref="G57:I57"/>
    <mergeCell ref="D61:F61"/>
    <mergeCell ref="J50:M50"/>
    <mergeCell ref="G18:I18"/>
    <mergeCell ref="G49:I49"/>
    <mergeCell ref="D48:F48"/>
    <mergeCell ref="G33:I33"/>
    <mergeCell ref="J52:M52"/>
    <mergeCell ref="J39:M39"/>
    <mergeCell ref="D62:F62"/>
    <mergeCell ref="D56:F56"/>
    <mergeCell ref="G35:I35"/>
    <mergeCell ref="J14:M14"/>
    <mergeCell ref="J29:M29"/>
    <mergeCell ref="D15:F15"/>
    <mergeCell ref="G3:H3"/>
    <mergeCell ref="J37:M37"/>
    <mergeCell ref="I3:J3"/>
    <mergeCell ref="G25:I25"/>
    <mergeCell ref="D24:F24"/>
    <mergeCell ref="D64:F64"/>
    <mergeCell ref="D38:F38"/>
    <mergeCell ref="J13:M13"/>
    <mergeCell ref="G60:I60"/>
    <mergeCell ref="G5:H5"/>
    <mergeCell ref="D26:F26"/>
    <mergeCell ref="J15:M15"/>
    <mergeCell ref="D2:M2"/>
    <mergeCell ref="G59:I59"/>
    <mergeCell ref="D63:F63"/>
    <mergeCell ref="G11:I11"/>
    <mergeCell ref="D10:F10"/>
    <mergeCell ref="D19:F19"/>
    <mergeCell ref="G67:I67"/>
    <mergeCell ref="D65:F65"/>
    <mergeCell ref="G61:I61"/>
    <mergeCell ref="G39:I39"/>
    <mergeCell ref="G48:I48"/>
    <mergeCell ref="J54:M54"/>
    <mergeCell ref="D52:F52"/>
    <mergeCell ref="J32:M32"/>
    <mergeCell ref="J63:M63"/>
    <mergeCell ref="J41:M41"/>
    <mergeCell ref="D49:F49"/>
  </mergeCells>
  <conditionalFormatting sqref="B6:L6">
    <cfRule type="notContainsBlanks" priority="10" dxfId="6">
      <formula>LEN(TRIM(B6))&gt;0</formula>
    </cfRule>
  </conditionalFormatting>
  <conditionalFormatting sqref="C69">
    <cfRule type="containsText" priority="3" operator="containsText" dxfId="1" text="Definir ordem de prioridade">
      <formula>NOT(ISERROR(SEARCH("Definir ordem de prioridade",C69)))</formula>
    </cfRule>
    <cfRule type="cellIs" priority="4" operator="equal" dxfId="3">
      <formula>0</formula>
    </cfRule>
    <cfRule type="containsBlanks" priority="5" dxfId="3">
      <formula>LEN(TRIM(C69))=0</formula>
    </cfRule>
    <cfRule type="expression" priority="6" dxfId="0">
      <formula>AND($G$5="Percentual do Excedente", $C$69&lt;&gt;1)</formula>
    </cfRule>
    <cfRule type="cellIs" priority="7" operator="equal" dxfId="1">
      <formula>1</formula>
    </cfRule>
  </conditionalFormatting>
  <conditionalFormatting sqref="G5:H5">
    <cfRule type="containsBlanks" priority="8" dxfId="0">
      <formula>LEN(TRIM(G5))=0</formula>
    </cfRule>
  </conditionalFormatting>
  <dataValidations count="3">
    <dataValidation sqref="G9:I68" showDropDown="0" showInputMessage="1" showErrorMessage="1" allowBlank="1" type="list">
      <formula1>$P$10:$P$17</formula1>
    </dataValidation>
    <dataValidation sqref="G5:H5" showDropDown="0" showInputMessage="1" showErrorMessage="1" allowBlank="1" type="list">
      <formula1>$P$19:$P$20</formula1>
    </dataValidation>
    <dataValidation sqref="K3:M3" showDropDown="0" showInputMessage="1" showErrorMessage="1" allowBlank="1" type="list">
      <formula1>$P$3:$P$5</formula1>
    </dataValidation>
  </dataValidations>
  <printOptions horizontalCentered="1"/>
  <pageMargins left="0.5118110236220472" right="0.5118110236220472" top="0.5905511811023623" bottom="0.5905511811023623" header="0.3149606299212598" footer="0.3149606299212598"/>
  <pageSetup orientation="portrait" paperSize="9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5"/>
  <sheetViews>
    <sheetView workbookViewId="0">
      <selection activeCell="E7" sqref="E7"/>
    </sheetView>
  </sheetViews>
  <sheetFormatPr baseColWidth="8" defaultColWidth="9.140625" defaultRowHeight="14.45"/>
  <cols>
    <col width="14.5703125" customWidth="1" min="1" max="1"/>
    <col width="25.5703125" customWidth="1" min="2" max="2"/>
    <col width="32.42578125" customWidth="1" min="3" max="3"/>
  </cols>
  <sheetData>
    <row r="1" ht="66" customHeight="1"/>
    <row r="2" ht="15.6" customHeight="1">
      <c r="A2" s="15" t="inlineStr">
        <is>
          <t>Origem</t>
        </is>
      </c>
      <c r="B2" s="15" t="n"/>
      <c r="C2" s="16" t="inlineStr">
        <is>
          <t>Fontes</t>
        </is>
      </c>
    </row>
    <row r="3">
      <c r="A3" s="18" t="inlineStr">
        <is>
          <t>Biomassa</t>
        </is>
      </c>
      <c r="B3" s="18" t="inlineStr">
        <is>
          <t>Floresta</t>
        </is>
      </c>
      <c r="C3" s="17" t="inlineStr">
        <is>
          <t>Biogás - Floresta</t>
        </is>
      </c>
    </row>
    <row r="4" ht="24" customHeight="1">
      <c r="A4" s="523" t="n"/>
      <c r="B4" s="523" t="n"/>
      <c r="C4" s="17" t="inlineStr">
        <is>
          <t>Carvão Vegetal</t>
        </is>
      </c>
    </row>
    <row r="5" ht="48" customHeight="1">
      <c r="A5" s="523" t="n"/>
      <c r="B5" s="523" t="n"/>
      <c r="C5" s="17" t="inlineStr">
        <is>
          <t>Gás de Alto Forno - Biomassa</t>
        </is>
      </c>
    </row>
    <row r="6">
      <c r="A6" s="523" t="n"/>
      <c r="B6" s="523" t="n"/>
      <c r="C6" s="17" t="inlineStr">
        <is>
          <t>Lenha</t>
        </is>
      </c>
    </row>
    <row r="7" ht="24" customHeight="1">
      <c r="A7" s="523" t="n"/>
      <c r="B7" s="523" t="n"/>
      <c r="C7" s="17" t="inlineStr">
        <is>
          <t>Licor Negro</t>
        </is>
      </c>
    </row>
    <row r="8" ht="36" customHeight="1">
      <c r="A8" s="523" t="n"/>
      <c r="B8" s="524" t="n"/>
      <c r="C8" s="17" t="inlineStr">
        <is>
          <t>Resíduos de Madeira</t>
        </is>
      </c>
    </row>
    <row r="9">
      <c r="A9" s="523" t="n"/>
      <c r="B9" s="18" t="inlineStr">
        <is>
          <t>Resíduos sólidos urbanos</t>
        </is>
      </c>
      <c r="C9" s="17" t="inlineStr">
        <is>
          <t>Biogás - RU</t>
        </is>
      </c>
    </row>
    <row r="10">
      <c r="A10" s="523" t="n"/>
      <c r="B10" s="18" t="inlineStr">
        <is>
          <t>Resíduos animais</t>
        </is>
      </c>
      <c r="C10" s="17" t="inlineStr">
        <is>
          <t>Biogás - RA</t>
        </is>
      </c>
    </row>
    <row r="11">
      <c r="A11" s="523" t="n"/>
      <c r="B11" s="18" t="inlineStr">
        <is>
          <t>Biocombustíveis líquidos</t>
        </is>
      </c>
      <c r="C11" s="17" t="inlineStr">
        <is>
          <t>Etanol</t>
        </is>
      </c>
    </row>
    <row r="12" ht="24" customHeight="1">
      <c r="A12" s="523" t="n"/>
      <c r="B12" s="524" t="n"/>
      <c r="C12" s="17" t="inlineStr">
        <is>
          <t>Óleos vegetais</t>
        </is>
      </c>
    </row>
    <row r="13">
      <c r="A13" s="523" t="n"/>
      <c r="B13" s="18" t="inlineStr">
        <is>
          <t>Agroindustriais</t>
        </is>
      </c>
      <c r="C13" s="17" t="inlineStr">
        <is>
          <t>Bagaço de Cana de Açúcar</t>
        </is>
      </c>
    </row>
    <row r="14" ht="24" customHeight="1">
      <c r="A14" s="523" t="n"/>
      <c r="B14" s="523" t="n"/>
      <c r="C14" s="17" t="inlineStr">
        <is>
          <t>Biogás-AGR</t>
        </is>
      </c>
    </row>
    <row r="15" ht="24" customHeight="1">
      <c r="A15" s="523" t="n"/>
      <c r="B15" s="523" t="n"/>
      <c r="C15" s="17" t="inlineStr">
        <is>
          <t>Capim Elefante</t>
        </is>
      </c>
    </row>
    <row r="16" ht="24" customHeight="1">
      <c r="A16" s="524" t="n"/>
      <c r="B16" s="524" t="n"/>
      <c r="C16" s="17" t="inlineStr">
        <is>
          <t>Casca de Arroz</t>
        </is>
      </c>
    </row>
    <row r="17">
      <c r="A17" s="18" t="inlineStr">
        <is>
          <t>Eólica</t>
        </is>
      </c>
      <c r="B17" s="18" t="inlineStr">
        <is>
          <t>Cinética do vento</t>
        </is>
      </c>
      <c r="C17" s="17" t="inlineStr">
        <is>
          <t>Cinética do vento</t>
        </is>
      </c>
    </row>
    <row r="18" ht="36" customHeight="1">
      <c r="A18" s="18" t="inlineStr">
        <is>
          <t>Fóssil</t>
        </is>
      </c>
      <c r="B18" s="18" t="inlineStr">
        <is>
          <t>Petróleo</t>
        </is>
      </c>
      <c r="C18" s="17" t="inlineStr">
        <is>
          <t>Gás de Alto Forno - PE</t>
        </is>
      </c>
    </row>
    <row r="19" ht="24" customHeight="1">
      <c r="A19" s="523" t="n"/>
      <c r="B19" s="523" t="n"/>
      <c r="C19" s="17" t="inlineStr">
        <is>
          <t>Gás de Refinaria</t>
        </is>
      </c>
    </row>
    <row r="20" ht="36" customHeight="1">
      <c r="A20" s="523" t="n"/>
      <c r="B20" s="523" t="n"/>
      <c r="C20" s="17" t="inlineStr">
        <is>
          <t>Óleo Combustível</t>
        </is>
      </c>
    </row>
    <row r="21" ht="24" customHeight="1">
      <c r="A21" s="523" t="n"/>
      <c r="B21" s="523" t="n"/>
      <c r="C21" s="17" t="inlineStr">
        <is>
          <t>Óleo Diesel</t>
        </is>
      </c>
    </row>
    <row r="22" ht="48" customHeight="1">
      <c r="A22" s="523" t="n"/>
      <c r="B22" s="524" t="n"/>
      <c r="C22" s="17" t="inlineStr">
        <is>
          <t>Outros Energéticos de Petróleo</t>
        </is>
      </c>
    </row>
    <row r="23">
      <c r="A23" s="523" t="n"/>
      <c r="B23" s="18" t="inlineStr">
        <is>
          <t>Carvão mineral</t>
        </is>
      </c>
      <c r="C23" s="17" t="inlineStr">
        <is>
          <t>Calor de Processo - CM</t>
        </is>
      </c>
    </row>
    <row r="24" ht="24" customHeight="1">
      <c r="A24" s="523" t="n"/>
      <c r="B24" s="523" t="n"/>
      <c r="C24" s="17" t="inlineStr">
        <is>
          <t>Carvão Mineral</t>
        </is>
      </c>
    </row>
    <row r="25" ht="36" customHeight="1">
      <c r="A25" s="523" t="n"/>
      <c r="B25" s="524" t="n"/>
      <c r="C25" s="17" t="inlineStr">
        <is>
          <t>Gás de Alto Forno - CM</t>
        </is>
      </c>
    </row>
    <row r="26">
      <c r="A26" s="523" t="n"/>
      <c r="B26" s="18" t="inlineStr">
        <is>
          <t>Gás natural</t>
        </is>
      </c>
      <c r="C26" s="17" t="inlineStr">
        <is>
          <t>Calor de Processo - GN</t>
        </is>
      </c>
    </row>
    <row r="27" ht="24" customHeight="1">
      <c r="A27" s="523" t="n"/>
      <c r="B27" s="524" t="n"/>
      <c r="C27" s="17" t="inlineStr">
        <is>
          <t>Gás Natural</t>
        </is>
      </c>
    </row>
    <row r="28">
      <c r="A28" s="523" t="n"/>
      <c r="B28" s="18" t="inlineStr">
        <is>
          <t>Outros Fósseis</t>
        </is>
      </c>
      <c r="C28" s="17" t="inlineStr">
        <is>
          <t>Calor de Processo - OF</t>
        </is>
      </c>
    </row>
    <row r="29">
      <c r="A29" s="523" t="n"/>
      <c r="B29" s="523" t="n"/>
      <c r="C29" s="17" t="inlineStr">
        <is>
          <t>Turfa</t>
        </is>
      </c>
    </row>
    <row r="30">
      <c r="A30" s="524" t="n"/>
      <c r="B30" s="524" t="n"/>
      <c r="C30" s="17" t="inlineStr">
        <is>
          <t>Xisto</t>
        </is>
      </c>
    </row>
    <row r="31">
      <c r="A31" s="18" t="inlineStr">
        <is>
          <t>Hídrica</t>
        </is>
      </c>
      <c r="B31" s="18" t="inlineStr">
        <is>
          <t>Potencial hidráulico</t>
        </is>
      </c>
      <c r="C31" s="17" t="inlineStr">
        <is>
          <t>Potencial hidráulico</t>
        </is>
      </c>
    </row>
    <row r="32">
      <c r="A32" s="18" t="inlineStr">
        <is>
          <t>Nuclear</t>
        </is>
      </c>
      <c r="B32" s="18" t="inlineStr">
        <is>
          <t>Urânio</t>
        </is>
      </c>
      <c r="C32" s="17" t="inlineStr">
        <is>
          <t>Urânio</t>
        </is>
      </c>
    </row>
    <row r="33">
      <c r="A33" s="18" t="inlineStr">
        <is>
          <t>Solar</t>
        </is>
      </c>
      <c r="B33" s="18" t="inlineStr">
        <is>
          <t>Radiação solar</t>
        </is>
      </c>
      <c r="C33" s="17" t="inlineStr">
        <is>
          <t>Radiação solar</t>
        </is>
      </c>
    </row>
    <row r="34">
      <c r="A34" s="18" t="inlineStr">
        <is>
          <t>Undi-Elétrica</t>
        </is>
      </c>
      <c r="B34" s="18" t="inlineStr">
        <is>
          <t>Cinética da água</t>
        </is>
      </c>
      <c r="C34" s="17" t="inlineStr">
        <is>
          <t>Cinética da água</t>
        </is>
      </c>
    </row>
    <row r="35">
      <c r="A35" s="413" t="n"/>
      <c r="B35" s="525" t="n"/>
      <c r="C35" s="525" t="n"/>
    </row>
  </sheetData>
  <mergeCells count="10">
    <mergeCell ref="B13:B16"/>
    <mergeCell ref="B18:B22"/>
    <mergeCell ref="B23:B25"/>
    <mergeCell ref="B3:B8"/>
    <mergeCell ref="A3:A16"/>
    <mergeCell ref="B11:B12"/>
    <mergeCell ref="A35:C35"/>
    <mergeCell ref="B26:B27"/>
    <mergeCell ref="B28:B30"/>
    <mergeCell ref="A18:A30"/>
  </mergeCells>
  <pageMargins left="0.511811024" right="0.511811024" top="0.787401575" bottom="0.787401575" header="0.31496062" footer="0.31496062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Jose Alves dos Santos</dc:creator>
  <dcterms:created xmlns:dcterms="http://purl.org/dc/terms/" xmlns:xsi="http://www.w3.org/2001/XMLSchema-instance" xsi:type="dcterms:W3CDTF">2015-03-03T20:07:03Z</dcterms:created>
  <dcterms:modified xmlns:dcterms="http://purl.org/dc/terms/" xmlns:xsi="http://www.w3.org/2001/XMLSchema-instance" xsi:type="dcterms:W3CDTF">2026-02-06T12:55:54Z</dcterms:modified>
  <cp:lastModifiedBy>Estevão Ferreira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0x010100BEF260A426E028468D3D808773DAA93E</vt:lpwstr>
  </property>
</Properties>
</file>